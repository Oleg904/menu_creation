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PycharmProjects\menu_creation\"/>
    </mc:Choice>
  </mc:AlternateContent>
  <bookViews>
    <workbookView xWindow="0" yWindow="0" windowWidth="21840" windowHeight="12300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G116" i="1" l="1"/>
  <c r="I92" i="1"/>
  <c r="I93" i="1"/>
  <c r="H151" i="1" l="1"/>
  <c r="B180" i="1" l="1"/>
  <c r="A180" i="1"/>
  <c r="L179" i="1"/>
  <c r="J179" i="1"/>
  <c r="I179" i="1"/>
  <c r="H179" i="1"/>
  <c r="G179" i="1"/>
  <c r="F179" i="1"/>
  <c r="B171" i="1"/>
  <c r="A171" i="1"/>
  <c r="L170" i="1"/>
  <c r="J170" i="1"/>
  <c r="I170" i="1"/>
  <c r="H170" i="1"/>
  <c r="G170" i="1"/>
  <c r="F170" i="1"/>
  <c r="B162" i="1"/>
  <c r="A162" i="1"/>
  <c r="L161" i="1"/>
  <c r="J161" i="1"/>
  <c r="I161" i="1"/>
  <c r="H161" i="1"/>
  <c r="G161" i="1"/>
  <c r="F161" i="1"/>
  <c r="B152" i="1"/>
  <c r="A152" i="1"/>
  <c r="L151" i="1"/>
  <c r="J151" i="1"/>
  <c r="I151" i="1"/>
  <c r="G151" i="1"/>
  <c r="F151" i="1"/>
  <c r="B144" i="1"/>
  <c r="A144" i="1"/>
  <c r="L143" i="1"/>
  <c r="J143" i="1"/>
  <c r="I143" i="1"/>
  <c r="H143" i="1"/>
  <c r="G143" i="1"/>
  <c r="F143" i="1"/>
  <c r="B135" i="1"/>
  <c r="A135" i="1"/>
  <c r="L134" i="1"/>
  <c r="J134" i="1"/>
  <c r="I134" i="1"/>
  <c r="H134" i="1"/>
  <c r="G134" i="1"/>
  <c r="F134" i="1"/>
  <c r="B126" i="1"/>
  <c r="A126" i="1"/>
  <c r="L125" i="1"/>
  <c r="J125" i="1"/>
  <c r="I125" i="1"/>
  <c r="H125" i="1"/>
  <c r="G125" i="1"/>
  <c r="F125" i="1"/>
  <c r="B117" i="1"/>
  <c r="A117" i="1"/>
  <c r="L116" i="1"/>
  <c r="J116" i="1"/>
  <c r="I116" i="1"/>
  <c r="H116" i="1"/>
  <c r="F116" i="1"/>
  <c r="B109" i="1"/>
  <c r="A109" i="1"/>
  <c r="L108" i="1"/>
  <c r="J108" i="1"/>
  <c r="I108" i="1"/>
  <c r="H108" i="1"/>
  <c r="G108" i="1"/>
  <c r="F108" i="1"/>
  <c r="B101" i="1"/>
  <c r="A101" i="1"/>
  <c r="L100" i="1"/>
  <c r="J100" i="1"/>
  <c r="I100" i="1"/>
  <c r="H100" i="1"/>
  <c r="G100" i="1"/>
  <c r="F100" i="1"/>
  <c r="B93" i="1"/>
  <c r="A93" i="1"/>
  <c r="L92" i="1"/>
  <c r="J92" i="1"/>
  <c r="H92" i="1"/>
  <c r="G92" i="1"/>
  <c r="F92" i="1"/>
  <c r="B84" i="1"/>
  <c r="A84" i="1"/>
  <c r="L83" i="1"/>
  <c r="J83" i="1"/>
  <c r="I83" i="1"/>
  <c r="H83" i="1"/>
  <c r="G83" i="1"/>
  <c r="F83" i="1"/>
  <c r="B76" i="1"/>
  <c r="A76" i="1"/>
  <c r="L75" i="1"/>
  <c r="J75" i="1"/>
  <c r="I75" i="1"/>
  <c r="H75" i="1"/>
  <c r="G75" i="1"/>
  <c r="F75" i="1"/>
  <c r="L65" i="1"/>
  <c r="J65" i="1"/>
  <c r="I65" i="1"/>
  <c r="H65" i="1"/>
  <c r="G65" i="1"/>
  <c r="F65" i="1"/>
  <c r="B58" i="1"/>
  <c r="A58" i="1"/>
  <c r="L57" i="1"/>
  <c r="J57" i="1"/>
  <c r="I57" i="1"/>
  <c r="H57" i="1"/>
  <c r="G57" i="1"/>
  <c r="F57" i="1"/>
  <c r="L47" i="1"/>
  <c r="J47" i="1"/>
  <c r="I47" i="1"/>
  <c r="H47" i="1"/>
  <c r="G47" i="1"/>
  <c r="F47" i="1"/>
  <c r="B40" i="1"/>
  <c r="A40" i="1"/>
  <c r="L39" i="1"/>
  <c r="J39" i="1"/>
  <c r="I39" i="1"/>
  <c r="H39" i="1"/>
  <c r="G39" i="1"/>
  <c r="F39" i="1"/>
  <c r="L30" i="1"/>
  <c r="J30" i="1"/>
  <c r="I30" i="1"/>
  <c r="H30" i="1"/>
  <c r="G30" i="1"/>
  <c r="F30" i="1"/>
  <c r="B22" i="1"/>
  <c r="A22" i="1"/>
  <c r="L21" i="1"/>
  <c r="J21" i="1"/>
  <c r="I21" i="1"/>
  <c r="H21" i="1"/>
  <c r="G21" i="1"/>
  <c r="F21" i="1"/>
  <c r="B13" i="1"/>
  <c r="A13" i="1"/>
  <c r="L12" i="1"/>
  <c r="J12" i="1"/>
  <c r="I12" i="1"/>
  <c r="H12" i="1"/>
  <c r="G12" i="1"/>
  <c r="F12" i="1"/>
  <c r="I144" i="1" l="1"/>
  <c r="G144" i="1"/>
  <c r="H144" i="1"/>
  <c r="J162" i="1"/>
  <c r="H162" i="1"/>
  <c r="G126" i="1"/>
  <c r="J180" i="1"/>
  <c r="F180" i="1"/>
  <c r="G162" i="1"/>
  <c r="F144" i="1"/>
  <c r="J126" i="1"/>
  <c r="L76" i="1"/>
  <c r="L40" i="1"/>
  <c r="L22" i="1"/>
  <c r="L180" i="1"/>
  <c r="L162" i="1"/>
  <c r="L144" i="1"/>
  <c r="L126" i="1"/>
  <c r="L109" i="1"/>
  <c r="L93" i="1"/>
  <c r="L58" i="1"/>
  <c r="I180" i="1"/>
  <c r="G180" i="1"/>
  <c r="H180" i="1"/>
  <c r="I162" i="1"/>
  <c r="F162" i="1"/>
  <c r="J144" i="1"/>
  <c r="I126" i="1"/>
  <c r="F126" i="1"/>
  <c r="H126" i="1"/>
  <c r="I109" i="1"/>
  <c r="J109" i="1"/>
  <c r="H109" i="1"/>
  <c r="G109" i="1"/>
  <c r="F109" i="1"/>
  <c r="H93" i="1"/>
  <c r="G93" i="1"/>
  <c r="F93" i="1"/>
  <c r="J93" i="1"/>
  <c r="J76" i="1"/>
  <c r="I76" i="1"/>
  <c r="F76" i="1"/>
  <c r="H76" i="1"/>
  <c r="G76" i="1"/>
  <c r="J58" i="1"/>
  <c r="I58" i="1"/>
  <c r="H58" i="1"/>
  <c r="G58" i="1"/>
  <c r="F58" i="1"/>
  <c r="H40" i="1"/>
  <c r="G40" i="1"/>
  <c r="F40" i="1"/>
  <c r="J40" i="1"/>
  <c r="I40" i="1"/>
  <c r="J22" i="1"/>
  <c r="I22" i="1"/>
  <c r="F22" i="1"/>
  <c r="G22" i="1"/>
  <c r="H22" i="1"/>
  <c r="L181" i="1" l="1"/>
  <c r="H181" i="1"/>
  <c r="G181" i="1"/>
  <c r="F181" i="1"/>
  <c r="J181" i="1"/>
  <c r="I181" i="1"/>
</calcChain>
</file>

<file path=xl/sharedStrings.xml><?xml version="1.0" encoding="utf-8"?>
<sst xmlns="http://schemas.openxmlformats.org/spreadsheetml/2006/main" count="416" uniqueCount="155">
  <si>
    <t>Прием пищи</t>
  </si>
  <si>
    <t>Белки</t>
  </si>
  <si>
    <t>Жиры</t>
  </si>
  <si>
    <t>Углеводы</t>
  </si>
  <si>
    <t>Итого за день:</t>
  </si>
  <si>
    <t>Среднее значение за период:</t>
  </si>
  <si>
    <t>Типовое примерное меню приготавливаемых блюд</t>
  </si>
  <si>
    <t>Школа</t>
  </si>
  <si>
    <t>Возрастная категория</t>
  </si>
  <si>
    <t>7-11 лет</t>
  </si>
  <si>
    <t>Калорийность</t>
  </si>
  <si>
    <t>№ рецептуры</t>
  </si>
  <si>
    <t>Блюда</t>
  </si>
  <si>
    <t>Раздел меню</t>
  </si>
  <si>
    <t>Неделя</t>
  </si>
  <si>
    <t>День недели</t>
  </si>
  <si>
    <t>должность</t>
  </si>
  <si>
    <t>фамилия</t>
  </si>
  <si>
    <t>дата</t>
  </si>
  <si>
    <t>Завтрак</t>
  </si>
  <si>
    <t>гор.блюдо</t>
  </si>
  <si>
    <t>гор.напиток</t>
  </si>
  <si>
    <t>хлеб</t>
  </si>
  <si>
    <t>фрукты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</si>
  <si>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</si>
  <si>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</si>
  <si>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</si>
  <si>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</si>
  <si>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</si>
  <si>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</si>
  <si>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</si>
  <si>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</si>
  <si>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итого</t>
  </si>
  <si>
    <t>Вес блюда, г</t>
  </si>
  <si>
    <t>Цена</t>
  </si>
  <si>
    <t>день</t>
  </si>
  <si>
    <t>месяц</t>
  </si>
  <si>
    <t>год</t>
  </si>
  <si>
    <t>МАОУ СОШ №11</t>
  </si>
  <si>
    <t>директор</t>
  </si>
  <si>
    <t>Загрудненко О.В.</t>
  </si>
  <si>
    <t>257/1996</t>
  </si>
  <si>
    <t>376/2017</t>
  </si>
  <si>
    <t>Хлеб пшеничный "Булка Тавдинская"</t>
  </si>
  <si>
    <t>81/2003</t>
  </si>
  <si>
    <t>7 к.о.2002</t>
  </si>
  <si>
    <t>Сок фруктовый</t>
  </si>
  <si>
    <t>ПР</t>
  </si>
  <si>
    <t>120/1996</t>
  </si>
  <si>
    <t>Компот из смеси сухофруктов</t>
  </si>
  <si>
    <t>443/1996</t>
  </si>
  <si>
    <t xml:space="preserve">Котлеты Московские </t>
  </si>
  <si>
    <t>475/1997</t>
  </si>
  <si>
    <t>Картофельное пюре</t>
  </si>
  <si>
    <t>472/1996</t>
  </si>
  <si>
    <t>379/2017</t>
  </si>
  <si>
    <t>Соус красный основной</t>
  </si>
  <si>
    <t>603/1997</t>
  </si>
  <si>
    <t>110/1996</t>
  </si>
  <si>
    <t xml:space="preserve">Рыба минтай припущенный </t>
  </si>
  <si>
    <t>Каша гречневая рассыпчатая</t>
  </si>
  <si>
    <t>463/1996</t>
  </si>
  <si>
    <t>702/1997</t>
  </si>
  <si>
    <t>Кисель детский Витошка</t>
  </si>
  <si>
    <t>82/2003</t>
  </si>
  <si>
    <t>Суп картофельный с бобовыми</t>
  </si>
  <si>
    <t>138/1996</t>
  </si>
  <si>
    <t>56/2003</t>
  </si>
  <si>
    <t>629/1996</t>
  </si>
  <si>
    <t>Котлета детская</t>
  </si>
  <si>
    <t>50/2003</t>
  </si>
  <si>
    <t>139/1996</t>
  </si>
  <si>
    <t>460/1996</t>
  </si>
  <si>
    <t>332/1996</t>
  </si>
  <si>
    <t>486/1996</t>
  </si>
  <si>
    <t>129/1996</t>
  </si>
  <si>
    <t>423/1996</t>
  </si>
  <si>
    <t>203/2017</t>
  </si>
  <si>
    <t>Чай с сахаром 200/5</t>
  </si>
  <si>
    <t>2/2017</t>
  </si>
  <si>
    <t>60/1996</t>
  </si>
  <si>
    <t>Котлеты, биточки, шницели</t>
  </si>
  <si>
    <t>416/1996</t>
  </si>
  <si>
    <t>Напиток витаминный из шиповника</t>
  </si>
  <si>
    <t>Компот из кураги</t>
  </si>
  <si>
    <t>Согласовал:</t>
  </si>
  <si>
    <t>Яйцо вареное</t>
  </si>
  <si>
    <t>325/1997</t>
  </si>
  <si>
    <t>66/2003</t>
  </si>
  <si>
    <t>Салат Здоровье</t>
  </si>
  <si>
    <t>Бутерброд  с сыром 40/10/10</t>
  </si>
  <si>
    <t>3/1997</t>
  </si>
  <si>
    <t>Рыба тушеная в сметанном соусе  с овощами (минтай 90/50)</t>
  </si>
  <si>
    <t>232/2017</t>
  </si>
  <si>
    <t>64/2003</t>
  </si>
  <si>
    <t>Макаронные изделия отварные с овощами</t>
  </si>
  <si>
    <t>205/2017</t>
  </si>
  <si>
    <t>Хлеб ржано-пшеничный "Булка Тавдинская"</t>
  </si>
  <si>
    <t>к.о.2023</t>
  </si>
  <si>
    <t>блюдо</t>
  </si>
  <si>
    <t>Напиток Витошка</t>
  </si>
  <si>
    <t>соус</t>
  </si>
  <si>
    <t>Чай с сахаром</t>
  </si>
  <si>
    <t>Рис припущенный</t>
  </si>
  <si>
    <t>305/2017</t>
  </si>
  <si>
    <t>503/1997</t>
  </si>
  <si>
    <t>Салат Осенний</t>
  </si>
  <si>
    <t>13/2003</t>
  </si>
  <si>
    <t>Щи из свежей капусты с картофелем со сметаной</t>
  </si>
  <si>
    <t>Рассольник Ленинградский со сметаной</t>
  </si>
  <si>
    <t>Салат Октябрьский</t>
  </si>
  <si>
    <t>16/2003</t>
  </si>
  <si>
    <t>Голубцы любительские с соусом</t>
  </si>
  <si>
    <t>Борщ с капустой и картофелем со сметаной</t>
  </si>
  <si>
    <t>Капуста тушеная</t>
  </si>
  <si>
    <t>482/1996</t>
  </si>
  <si>
    <t>Суп картофельный с макаронными изделиями</t>
  </si>
  <si>
    <t>Кофейный напиток</t>
  </si>
  <si>
    <t>Макаронные изделия отварные с маслом</t>
  </si>
  <si>
    <t>Салат Винегрет овощной</t>
  </si>
  <si>
    <t>Салат Рыжик</t>
  </si>
  <si>
    <t>5/2003</t>
  </si>
  <si>
    <t>Напиток из свежих ягод</t>
  </si>
  <si>
    <t>976/2017</t>
  </si>
  <si>
    <t>Тефтели из говядины с рисом с соусом</t>
  </si>
  <si>
    <t>Каша  пшеничная молочная с маслом 200/5</t>
  </si>
  <si>
    <t>Овощное рагу с биточками или котлетами из птицы</t>
  </si>
  <si>
    <t>547/1996</t>
  </si>
  <si>
    <t>Каша рисовая молочная и маслом 200/10</t>
  </si>
  <si>
    <t>Бутерброды с повидлом и маслом 30/15/20</t>
  </si>
  <si>
    <t>2</t>
  </si>
  <si>
    <t>Тефтели из говядины с рисом</t>
  </si>
  <si>
    <t>Кнели из мяса кур с рисом</t>
  </si>
  <si>
    <t>301/2017</t>
  </si>
  <si>
    <t>Тефтели рыбные с соусом</t>
  </si>
  <si>
    <t>Компот из изюма</t>
  </si>
  <si>
    <t>Суп крестьянский с крупой со сметаной</t>
  </si>
  <si>
    <t>174/1997</t>
  </si>
  <si>
    <t>Каша перловая с овощами</t>
  </si>
  <si>
    <t>Каша ячневая молочная с маслом 200/5</t>
  </si>
  <si>
    <t>Рагу из птицы (240)</t>
  </si>
  <si>
    <t>Колбаски витаминные</t>
  </si>
  <si>
    <t>566/1996</t>
  </si>
  <si>
    <t>Каша геркулесовая молочная с маслом</t>
  </si>
  <si>
    <t>Круассаны со сгущенным молоком</t>
  </si>
  <si>
    <t>39/2007</t>
  </si>
  <si>
    <t>Йогурт 2,5% 0,125г</t>
  </si>
  <si>
    <t>Овощное рагу</t>
  </si>
  <si>
    <t>Суп крестьянский с крупой и сметаной</t>
  </si>
  <si>
    <t>Биточки или котлеты рубленые из птицы</t>
  </si>
  <si>
    <t>Рис припущенный с овощами</t>
  </si>
  <si>
    <t>36/2003</t>
  </si>
  <si>
    <t>Каша пшеничная молочная с маслом</t>
  </si>
  <si>
    <t>Бутерброд с повидлом и маслом</t>
  </si>
  <si>
    <t>Молочный коктейль 2,5% 200гр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</si>
</sst>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scheme val="minor"/>
    </font>
    <font>
      <sz val="10"/>
      <color theme="1"/>
      <name val="Arial"/>
    </font>
    <font>
      <sz val="10"/>
      <color rgb="FF4C4C4C"/>
      <name val="Arial"/>
    </font>
    <font>
      <sz val="10"/>
      <color rgb="FF2D2D2D"/>
      <name val="Arial"/>
    </font>
    <font>
      <i/>
      <sz val="11"/>
      <color theme="1"/>
      <name val="Calibri"/>
      <scheme val="minor"/>
    </font>
    <font>
      <b/>
      <sz val="10"/>
      <color rgb="FF2D2D2D"/>
      <name val="Arial"/>
    </font>
    <font>
      <b/>
      <sz val="14"/>
      <color rgb="FF4C4C4C"/>
      <name val="Arial"/>
    </font>
    <font>
      <b/>
      <sz val="8"/>
      <color theme="1"/>
      <name val="Arial"/>
    </font>
    <font>
      <b/>
      <sz val="8"/>
      <color rgb="FF2D2D2D"/>
      <name val="Arial"/>
    </font>
    <font>
      <i/>
      <sz val="8"/>
      <color theme="1"/>
      <name val="Arial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/>
    <xf numFmtId="0" fontId="0" fillId="2" borderId="2" xfId="0" applyFill="1" applyBorder="1" applyProtection="1">
      <protection locked="0"/>
    </xf>
    <xf numFmtId="0" fontId="0" fillId="0" borderId="2" xfId="0" applyBorder="1"/>
    <xf numFmtId="0" fontId="0" fillId="0" borderId="4" xfId="0" applyBorder="1"/>
    <xf numFmtId="0" fontId="5" fillId="0" borderId="2" xfId="0" applyFont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8" fillId="0" borderId="2" xfId="0" applyFont="1" applyBorder="1" applyAlignment="1" applyProtection="1">
      <alignment horizontal="right"/>
      <protection locked="0"/>
    </xf>
    <xf numFmtId="0" fontId="5" fillId="0" borderId="2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14" xfId="0" applyBorder="1"/>
    <xf numFmtId="0" fontId="5" fillId="0" borderId="1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7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5" fillId="3" borderId="20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5" fillId="2" borderId="2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horizontal="center" vertical="top" wrapText="1"/>
      <protection locked="0"/>
    </xf>
    <xf numFmtId="0" fontId="5" fillId="2" borderId="2" xfId="0" applyFont="1" applyFill="1" applyBorder="1" applyAlignment="1" applyProtection="1">
      <alignment vertical="top" wrapText="1"/>
      <protection locked="0"/>
    </xf>
    <xf numFmtId="0" fontId="5" fillId="2" borderId="2" xfId="0" applyFont="1" applyFill="1" applyBorder="1" applyAlignment="1" applyProtection="1">
      <alignment horizontal="center" vertical="top" wrapText="1"/>
      <protection locked="0"/>
    </xf>
    <xf numFmtId="0" fontId="5" fillId="2" borderId="17" xfId="0" applyFont="1" applyFill="1" applyBorder="1" applyAlignment="1" applyProtection="1">
      <alignment horizontal="center" vertical="top" wrapText="1"/>
      <protection locked="0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1" fontId="5" fillId="2" borderId="4" xfId="0" applyNumberFormat="1" applyFont="1" applyFill="1" applyBorder="1" applyAlignment="1" applyProtection="1">
      <alignment horizontal="center"/>
      <protection locked="0"/>
    </xf>
    <xf numFmtId="1" fontId="5" fillId="2" borderId="2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left"/>
    </xf>
    <xf numFmtId="0" fontId="0" fillId="4" borderId="1" xfId="0" applyFill="1" applyBorder="1" applyAlignment="1" applyProtection="1">
      <alignment wrapText="1"/>
      <protection locked="0"/>
    </xf>
    <xf numFmtId="0" fontId="5" fillId="2" borderId="2" xfId="0" applyFont="1" applyFill="1" applyBorder="1" applyAlignment="1" applyProtection="1">
      <alignment horizontal="left" vertical="top" wrapText="1"/>
      <protection locked="0"/>
    </xf>
    <xf numFmtId="0" fontId="14" fillId="2" borderId="17" xfId="0" applyFont="1" applyFill="1" applyBorder="1" applyAlignment="1" applyProtection="1">
      <alignment horizontal="center" vertical="top" wrapText="1"/>
      <protection locked="0"/>
    </xf>
    <xf numFmtId="0" fontId="14" fillId="2" borderId="2" xfId="0" applyFont="1" applyFill="1" applyBorder="1" applyAlignment="1" applyProtection="1">
      <alignment vertical="top" wrapText="1"/>
      <protection locked="0"/>
    </xf>
    <xf numFmtId="1" fontId="0" fillId="4" borderId="1" xfId="0" applyNumberFormat="1" applyFill="1" applyBorder="1" applyAlignment="1" applyProtection="1">
      <alignment horizontal="center"/>
      <protection locked="0"/>
    </xf>
    <xf numFmtId="49" fontId="0" fillId="4" borderId="2" xfId="0" applyNumberFormat="1" applyFont="1" applyFill="1" applyBorder="1" applyAlignment="1" applyProtection="1">
      <alignment horizontal="center"/>
      <protection locked="0"/>
    </xf>
    <xf numFmtId="49" fontId="14" fillId="2" borderId="17" xfId="0" applyNumberFormat="1" applyFont="1" applyFill="1" applyBorder="1" applyAlignment="1" applyProtection="1">
      <alignment horizontal="center" vertical="top" wrapText="1"/>
      <protection locked="0"/>
    </xf>
    <xf numFmtId="1" fontId="0" fillId="4" borderId="2" xfId="0" applyNumberFormat="1" applyFill="1" applyBorder="1" applyAlignment="1" applyProtection="1">
      <alignment horizontal="center"/>
      <protection locked="0"/>
    </xf>
    <xf numFmtId="0" fontId="14" fillId="2" borderId="1" xfId="0" applyFont="1" applyFill="1" applyBorder="1" applyAlignment="1" applyProtection="1">
      <alignment vertical="top" wrapText="1"/>
      <protection locked="0"/>
    </xf>
    <xf numFmtId="0" fontId="14" fillId="2" borderId="15" xfId="0" applyFont="1" applyFill="1" applyBorder="1" applyAlignment="1" applyProtection="1">
      <alignment horizontal="center" vertical="top" wrapText="1"/>
      <protection locked="0"/>
    </xf>
    <xf numFmtId="0" fontId="0" fillId="0" borderId="2" xfId="0" applyFill="1" applyBorder="1"/>
    <xf numFmtId="2" fontId="0" fillId="4" borderId="2" xfId="0" applyNumberFormat="1" applyFill="1" applyBorder="1" applyAlignment="1" applyProtection="1">
      <alignment horizontal="center"/>
      <protection locked="0"/>
    </xf>
    <xf numFmtId="2" fontId="0" fillId="4" borderId="1" xfId="0" applyNumberFormat="1" applyFill="1" applyBorder="1" applyAlignment="1" applyProtection="1">
      <alignment horizontal="center"/>
      <protection locked="0"/>
    </xf>
    <xf numFmtId="0" fontId="14" fillId="2" borderId="2" xfId="0" applyFont="1" applyFill="1" applyBorder="1" applyAlignment="1" applyProtection="1">
      <alignment horizontal="center" vertical="top" wrapText="1"/>
      <protection locked="0"/>
    </xf>
    <xf numFmtId="49" fontId="14" fillId="4" borderId="17" xfId="0" applyNumberFormat="1" applyFont="1" applyFill="1" applyBorder="1" applyAlignment="1" applyProtection="1">
      <alignment horizontal="center" vertical="top" wrapText="1"/>
      <protection locked="0"/>
    </xf>
    <xf numFmtId="164" fontId="0" fillId="4" borderId="2" xfId="0" applyNumberFormat="1" applyFill="1" applyBorder="1" applyAlignment="1" applyProtection="1">
      <alignment horizontal="center"/>
      <protection locked="0"/>
    </xf>
    <xf numFmtId="164" fontId="5" fillId="2" borderId="2" xfId="0" applyNumberFormat="1" applyFont="1" applyFill="1" applyBorder="1" applyAlignment="1" applyProtection="1">
      <alignment horizontal="center" vertical="top" wrapText="1"/>
      <protection locked="0"/>
    </xf>
    <xf numFmtId="2" fontId="5" fillId="2" borderId="2" xfId="0" applyNumberFormat="1" applyFont="1" applyFill="1" applyBorder="1" applyAlignment="1" applyProtection="1">
      <alignment horizontal="center" vertical="top" wrapText="1"/>
      <protection locked="0"/>
    </xf>
    <xf numFmtId="2" fontId="0" fillId="4" borderId="15" xfId="0" applyNumberFormat="1" applyFill="1" applyBorder="1" applyAlignment="1" applyProtection="1">
      <alignment horizontal="center"/>
      <protection locked="0"/>
    </xf>
    <xf numFmtId="2" fontId="5" fillId="0" borderId="2" xfId="0" applyNumberFormat="1" applyFont="1" applyBorder="1" applyAlignment="1">
      <alignment horizontal="center" vertical="top" wrapText="1"/>
    </xf>
    <xf numFmtId="0" fontId="3" fillId="4" borderId="4" xfId="0" applyFont="1" applyFill="1" applyBorder="1" applyAlignment="1" applyProtection="1">
      <alignment wrapText="1"/>
      <protection locked="0"/>
    </xf>
    <xf numFmtId="0" fontId="3" fillId="2" borderId="2" xfId="0" applyFont="1" applyFill="1" applyBorder="1" applyProtection="1">
      <protection locked="0"/>
    </xf>
    <xf numFmtId="0" fontId="14" fillId="2" borderId="2" xfId="0" applyFont="1" applyFill="1" applyBorder="1" applyAlignment="1" applyProtection="1">
      <alignment horizontal="left" vertical="top" wrapText="1"/>
      <protection locked="0"/>
    </xf>
    <xf numFmtId="49" fontId="3" fillId="4" borderId="2" xfId="0" applyNumberFormat="1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Protection="1">
      <protection locked="0"/>
    </xf>
    <xf numFmtId="17" fontId="5" fillId="2" borderId="17" xfId="0" applyNumberFormat="1" applyFont="1" applyFill="1" applyBorder="1" applyAlignment="1" applyProtection="1">
      <alignment horizontal="center" vertical="top" wrapText="1"/>
      <protection locked="0"/>
    </xf>
    <xf numFmtId="0" fontId="1" fillId="2" borderId="2" xfId="0" applyFont="1" applyFill="1" applyBorder="1" applyProtection="1">
      <protection locked="0"/>
    </xf>
    <xf numFmtId="0" fontId="1" fillId="4" borderId="4" xfId="0" applyFont="1" applyFill="1" applyBorder="1" applyAlignment="1" applyProtection="1">
      <alignment wrapText="1"/>
      <protection locked="0"/>
    </xf>
    <xf numFmtId="49" fontId="1" fillId="4" borderId="2" xfId="0" applyNumberFormat="1" applyFont="1" applyFill="1" applyBorder="1" applyAlignment="1" applyProtection="1">
      <alignment horizontal="center"/>
      <protection locked="0"/>
    </xf>
    <xf numFmtId="0" fontId="9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5" fillId="2" borderId="2" xfId="0" applyFont="1" applyFill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5" fillId="2" borderId="2" xfId="0" applyFont="1" applyFill="1" applyBorder="1" applyAlignment="1" applyProtection="1">
      <alignment horizontal="left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1"/>
  <sheetViews>
    <sheetView tabSelected="1" workbookViewId="0">
      <pane ySplit="5" topLeftCell="A6" activePane="bottomLeft" state="frozen"/>
      <selection activeCell="D1" sqref="D1"/>
      <selection pane="bottomLeft" activeCell="D9" sqref="D9"/>
    </sheetView>
  </sheetViews>
  <sheetFormatPr defaultRowHeight="12.75" x14ac:dyDescent="0.2"/>
  <cols>
    <col min="1" max="1" width="4.7109375" style="2" customWidth="1"/>
    <col min="2" max="2" width="5.28515625" style="2" customWidth="1"/>
    <col min="3" max="3" width="9.140625" style="1" customWidth="1"/>
    <col min="4" max="4" width="11.5703125" style="1" customWidth="1"/>
    <col min="5" max="5" width="52.5703125" style="2" customWidth="1"/>
    <col min="6" max="6" width="9.28515625" style="2" customWidth="1"/>
    <col min="7" max="7" width="10" style="2" customWidth="1"/>
    <col min="8" max="8" width="7.5703125" style="2" customWidth="1"/>
    <col min="9" max="9" width="6.85546875" style="2" customWidth="1"/>
    <col min="10" max="10" width="8.140625" style="2" customWidth="1"/>
    <col min="11" max="11" width="10" style="2" customWidth="1"/>
    <col min="12" max="16384" width="9.140625" style="2"/>
  </cols>
  <sheetData>
    <row r="1" spans="1:12" ht="15" x14ac:dyDescent="0.25">
      <c r="A1" s="1" t="s">
        <v>7</v>
      </c>
      <c r="C1" s="81" t="s">
        <v>38</v>
      </c>
      <c r="D1" s="82"/>
      <c r="E1" s="82"/>
      <c r="F1" s="12" t="s">
        <v>85</v>
      </c>
      <c r="G1" s="2" t="s">
        <v>16</v>
      </c>
      <c r="H1" s="83" t="s">
        <v>39</v>
      </c>
      <c r="I1" s="83"/>
      <c r="J1" s="83"/>
      <c r="K1" s="83"/>
    </row>
    <row r="2" spans="1:12" ht="18" x14ac:dyDescent="0.2">
      <c r="A2" s="35" t="s">
        <v>6</v>
      </c>
      <c r="C2" s="2"/>
      <c r="G2" s="2" t="s">
        <v>17</v>
      </c>
      <c r="H2" s="83" t="s">
        <v>40</v>
      </c>
      <c r="I2" s="83"/>
      <c r="J2" s="83"/>
      <c r="K2" s="83"/>
    </row>
    <row r="3" spans="1:12" ht="17.25" customHeight="1" x14ac:dyDescent="0.2">
      <c r="A3" s="4" t="s">
        <v>8</v>
      </c>
      <c r="C3" s="2"/>
      <c r="D3" s="3"/>
      <c r="E3" s="38" t="s">
        <v>9</v>
      </c>
      <c r="G3" s="2" t="s">
        <v>18</v>
      </c>
      <c r="H3" s="46">
        <v>10</v>
      </c>
      <c r="I3" s="46">
        <v>2</v>
      </c>
      <c r="J3" s="47">
        <v>2025</v>
      </c>
      <c r="K3" s="48"/>
    </row>
    <row r="4" spans="1:12" x14ac:dyDescent="0.2">
      <c r="C4" s="2"/>
      <c r="D4" s="4"/>
      <c r="H4" s="45" t="s">
        <v>35</v>
      </c>
      <c r="I4" s="45" t="s">
        <v>36</v>
      </c>
      <c r="J4" s="45" t="s">
        <v>37</v>
      </c>
    </row>
    <row r="5" spans="1:12" ht="34.5" thickBot="1" x14ac:dyDescent="0.25">
      <c r="A5" s="43" t="s">
        <v>14</v>
      </c>
      <c r="B5" s="44" t="s">
        <v>15</v>
      </c>
      <c r="C5" s="36" t="s">
        <v>0</v>
      </c>
      <c r="D5" s="36" t="s">
        <v>13</v>
      </c>
      <c r="E5" s="36" t="s">
        <v>12</v>
      </c>
      <c r="F5" s="36" t="s">
        <v>33</v>
      </c>
      <c r="G5" s="36" t="s">
        <v>1</v>
      </c>
      <c r="H5" s="36" t="s">
        <v>2</v>
      </c>
      <c r="I5" s="36" t="s">
        <v>3</v>
      </c>
      <c r="J5" s="36" t="s">
        <v>10</v>
      </c>
      <c r="K5" s="37" t="s">
        <v>11</v>
      </c>
      <c r="L5" s="36" t="s">
        <v>34</v>
      </c>
    </row>
    <row r="6" spans="1:12" ht="15" x14ac:dyDescent="0.25">
      <c r="A6" s="20">
        <v>1</v>
      </c>
      <c r="B6" s="21">
        <v>1</v>
      </c>
      <c r="C6" s="22" t="s">
        <v>19</v>
      </c>
      <c r="D6" s="5" t="s">
        <v>20</v>
      </c>
      <c r="E6" s="49" t="s">
        <v>125</v>
      </c>
      <c r="F6" s="53">
        <v>205</v>
      </c>
      <c r="G6" s="61">
        <v>8.1</v>
      </c>
      <c r="H6" s="61">
        <v>11.2</v>
      </c>
      <c r="I6" s="67">
        <v>40.200000000000003</v>
      </c>
      <c r="J6" s="61">
        <v>316.60000000000002</v>
      </c>
      <c r="K6" s="54" t="s">
        <v>41</v>
      </c>
      <c r="L6" s="61">
        <v>20.67</v>
      </c>
    </row>
    <row r="7" spans="1:12" ht="15" x14ac:dyDescent="0.25">
      <c r="A7" s="23"/>
      <c r="B7" s="15"/>
      <c r="C7" s="11"/>
      <c r="D7" s="7" t="s">
        <v>21</v>
      </c>
      <c r="E7" s="69" t="s">
        <v>63</v>
      </c>
      <c r="F7" s="56">
        <v>200</v>
      </c>
      <c r="G7" s="60">
        <v>0</v>
      </c>
      <c r="H7" s="60">
        <v>0</v>
      </c>
      <c r="I7" s="60">
        <v>24</v>
      </c>
      <c r="J7" s="60">
        <v>95</v>
      </c>
      <c r="K7" s="72" t="s">
        <v>64</v>
      </c>
      <c r="L7" s="60">
        <v>10.56</v>
      </c>
    </row>
    <row r="8" spans="1:12" ht="15" x14ac:dyDescent="0.25">
      <c r="A8" s="23"/>
      <c r="B8" s="15"/>
      <c r="C8" s="11"/>
      <c r="D8" s="7" t="s">
        <v>22</v>
      </c>
      <c r="E8" s="40" t="s">
        <v>43</v>
      </c>
      <c r="F8" s="41">
        <v>38</v>
      </c>
      <c r="G8" s="66">
        <v>3</v>
      </c>
      <c r="H8" s="41">
        <v>0.4</v>
      </c>
      <c r="I8" s="66">
        <v>19</v>
      </c>
      <c r="J8" s="41">
        <v>91.6</v>
      </c>
      <c r="K8" s="51" t="s">
        <v>45</v>
      </c>
      <c r="L8" s="41">
        <v>1.8</v>
      </c>
    </row>
    <row r="9" spans="1:12" ht="15" x14ac:dyDescent="0.25">
      <c r="A9" s="23"/>
      <c r="B9" s="15"/>
      <c r="C9" s="11"/>
      <c r="D9" s="7" t="s">
        <v>23</v>
      </c>
      <c r="E9" s="52" t="s">
        <v>46</v>
      </c>
      <c r="F9" s="41">
        <v>200</v>
      </c>
      <c r="G9" s="41">
        <v>0.8</v>
      </c>
      <c r="H9" s="66">
        <v>0</v>
      </c>
      <c r="I9" s="41">
        <v>20.6</v>
      </c>
      <c r="J9" s="66">
        <v>84</v>
      </c>
      <c r="K9" s="51" t="s">
        <v>47</v>
      </c>
      <c r="L9" s="41">
        <v>25.8</v>
      </c>
    </row>
    <row r="10" spans="1:12" ht="15" x14ac:dyDescent="0.25">
      <c r="A10" s="23"/>
      <c r="B10" s="15"/>
      <c r="C10" s="11"/>
      <c r="D10" s="70" t="s">
        <v>25</v>
      </c>
      <c r="E10" s="71" t="s">
        <v>90</v>
      </c>
      <c r="F10" s="41">
        <v>60</v>
      </c>
      <c r="G10" s="41">
        <v>4.9000000000000004</v>
      </c>
      <c r="H10" s="41">
        <v>9.6</v>
      </c>
      <c r="I10" s="41">
        <v>17.5</v>
      </c>
      <c r="J10" s="41">
        <v>175.9</v>
      </c>
      <c r="K10" s="55" t="s">
        <v>91</v>
      </c>
      <c r="L10" s="41">
        <v>26.17</v>
      </c>
    </row>
    <row r="11" spans="1:12" ht="15" x14ac:dyDescent="0.25">
      <c r="A11" s="23"/>
      <c r="B11" s="15"/>
      <c r="C11" s="11"/>
      <c r="D11" s="6"/>
      <c r="E11" s="40"/>
      <c r="F11" s="41"/>
      <c r="G11" s="41"/>
      <c r="H11" s="41"/>
      <c r="I11" s="41"/>
      <c r="J11" s="41"/>
      <c r="K11" s="42"/>
      <c r="L11" s="41"/>
    </row>
    <row r="12" spans="1:12" ht="15" x14ac:dyDescent="0.25">
      <c r="A12" s="24"/>
      <c r="B12" s="17"/>
      <c r="C12" s="8"/>
      <c r="D12" s="18" t="s">
        <v>32</v>
      </c>
      <c r="E12" s="9"/>
      <c r="F12" s="19">
        <f>SUM(F6:F11)</f>
        <v>703</v>
      </c>
      <c r="G12" s="19">
        <f>SUM(G6:G11)</f>
        <v>16.8</v>
      </c>
      <c r="H12" s="19">
        <f>SUM(H6:H11)</f>
        <v>21.2</v>
      </c>
      <c r="I12" s="19">
        <f>SUM(I6:I11)</f>
        <v>121.30000000000001</v>
      </c>
      <c r="J12" s="19">
        <f>SUM(J6:J11)</f>
        <v>763.1</v>
      </c>
      <c r="K12" s="25"/>
      <c r="L12" s="19">
        <f>SUM(L6:L11)</f>
        <v>85</v>
      </c>
    </row>
    <row r="13" spans="1:12" ht="15" x14ac:dyDescent="0.25">
      <c r="A13" s="26">
        <f>A6</f>
        <v>1</v>
      </c>
      <c r="B13" s="13">
        <f>B6</f>
        <v>1</v>
      </c>
      <c r="C13" s="10" t="s">
        <v>24</v>
      </c>
      <c r="D13" s="7"/>
      <c r="E13" s="40"/>
      <c r="F13" s="41"/>
      <c r="G13" s="41"/>
      <c r="H13" s="41"/>
      <c r="I13" s="41"/>
      <c r="J13" s="41"/>
      <c r="K13" s="42"/>
      <c r="L13" s="41"/>
    </row>
    <row r="14" spans="1:12" ht="15" x14ac:dyDescent="0.25">
      <c r="A14" s="23"/>
      <c r="B14" s="15"/>
      <c r="C14" s="11"/>
      <c r="D14" s="59" t="s">
        <v>26</v>
      </c>
      <c r="E14" s="52" t="s">
        <v>113</v>
      </c>
      <c r="F14" s="41">
        <v>255</v>
      </c>
      <c r="G14" s="41">
        <v>2.2999999999999998</v>
      </c>
      <c r="H14" s="41">
        <v>6.2</v>
      </c>
      <c r="I14" s="41">
        <v>12.3</v>
      </c>
      <c r="J14" s="41">
        <v>160.69999999999999</v>
      </c>
      <c r="K14" s="51" t="s">
        <v>58</v>
      </c>
      <c r="L14" s="41">
        <v>10.31</v>
      </c>
    </row>
    <row r="15" spans="1:12" ht="15" x14ac:dyDescent="0.25">
      <c r="A15" s="23"/>
      <c r="B15" s="15"/>
      <c r="C15" s="11"/>
      <c r="D15" s="7" t="s">
        <v>27</v>
      </c>
      <c r="E15" s="52" t="s">
        <v>126</v>
      </c>
      <c r="F15" s="41">
        <v>240</v>
      </c>
      <c r="G15" s="41">
        <v>16.2</v>
      </c>
      <c r="H15" s="41">
        <v>22.3</v>
      </c>
      <c r="I15" s="41">
        <v>20.3</v>
      </c>
      <c r="J15" s="41">
        <v>366</v>
      </c>
      <c r="K15" s="51" t="s">
        <v>74</v>
      </c>
      <c r="L15" s="41">
        <v>41.12</v>
      </c>
    </row>
    <row r="16" spans="1:12" ht="15" x14ac:dyDescent="0.25">
      <c r="A16" s="23"/>
      <c r="B16" s="15"/>
      <c r="C16" s="11"/>
      <c r="D16" s="7" t="s">
        <v>29</v>
      </c>
      <c r="E16" s="52" t="s">
        <v>102</v>
      </c>
      <c r="F16" s="41">
        <v>205</v>
      </c>
      <c r="G16" s="41">
        <v>0.1</v>
      </c>
      <c r="H16" s="41">
        <v>0</v>
      </c>
      <c r="I16" s="41">
        <v>4.5999999999999996</v>
      </c>
      <c r="J16" s="41">
        <v>17.100000000000001</v>
      </c>
      <c r="K16" s="51" t="s">
        <v>42</v>
      </c>
      <c r="L16" s="41">
        <v>4.5599999999999996</v>
      </c>
    </row>
    <row r="17" spans="1:12" ht="15" x14ac:dyDescent="0.25">
      <c r="A17" s="23"/>
      <c r="B17" s="15"/>
      <c r="C17" s="11"/>
      <c r="D17" s="7" t="s">
        <v>30</v>
      </c>
      <c r="E17" s="40" t="s">
        <v>43</v>
      </c>
      <c r="F17" s="41">
        <v>38</v>
      </c>
      <c r="G17" s="66">
        <v>3</v>
      </c>
      <c r="H17" s="41">
        <v>0.4</v>
      </c>
      <c r="I17" s="41">
        <v>19</v>
      </c>
      <c r="J17" s="41">
        <v>91.6</v>
      </c>
      <c r="K17" s="51" t="s">
        <v>45</v>
      </c>
      <c r="L17" s="41">
        <v>3.61</v>
      </c>
    </row>
    <row r="18" spans="1:12" ht="15" x14ac:dyDescent="0.25">
      <c r="A18" s="23"/>
      <c r="B18" s="15"/>
      <c r="C18" s="11"/>
      <c r="D18" s="7" t="s">
        <v>31</v>
      </c>
      <c r="E18" s="40" t="s">
        <v>97</v>
      </c>
      <c r="F18" s="41">
        <v>38</v>
      </c>
      <c r="G18" s="41">
        <v>3.1</v>
      </c>
      <c r="H18" s="41">
        <v>0.3</v>
      </c>
      <c r="I18" s="41">
        <v>19.5</v>
      </c>
      <c r="J18" s="41">
        <v>94.3</v>
      </c>
      <c r="K18" s="42" t="s">
        <v>98</v>
      </c>
      <c r="L18" s="41">
        <v>3.61</v>
      </c>
    </row>
    <row r="19" spans="1:12" ht="15" x14ac:dyDescent="0.25">
      <c r="A19" s="23"/>
      <c r="B19" s="15"/>
      <c r="C19" s="11"/>
      <c r="D19" s="6"/>
      <c r="E19" s="40"/>
      <c r="F19" s="41"/>
      <c r="G19" s="41"/>
      <c r="H19" s="41"/>
      <c r="I19" s="41"/>
      <c r="J19" s="41"/>
      <c r="K19" s="42"/>
      <c r="L19" s="41"/>
    </row>
    <row r="20" spans="1:12" ht="15" x14ac:dyDescent="0.25">
      <c r="A20" s="23"/>
      <c r="B20" s="15"/>
      <c r="C20" s="11"/>
      <c r="D20" s="6"/>
      <c r="E20" s="40"/>
      <c r="F20" s="41"/>
      <c r="G20" s="41"/>
      <c r="H20" s="41"/>
      <c r="I20" s="41"/>
      <c r="J20" s="41"/>
      <c r="K20" s="42"/>
      <c r="L20" s="41"/>
    </row>
    <row r="21" spans="1:12" ht="15" x14ac:dyDescent="0.25">
      <c r="A21" s="24"/>
      <c r="B21" s="17"/>
      <c r="C21" s="8"/>
      <c r="D21" s="18" t="s">
        <v>32</v>
      </c>
      <c r="E21" s="9"/>
      <c r="F21" s="19">
        <f>SUM(F13:F20)</f>
        <v>776</v>
      </c>
      <c r="G21" s="19">
        <f>SUM(G13:G20)</f>
        <v>24.700000000000003</v>
      </c>
      <c r="H21" s="19">
        <f>SUM(H13:H20)</f>
        <v>29.2</v>
      </c>
      <c r="I21" s="19">
        <f>SUM(I13:I20)</f>
        <v>75.7</v>
      </c>
      <c r="J21" s="19">
        <f>SUM(J13:J20)</f>
        <v>729.7</v>
      </c>
      <c r="K21" s="25"/>
      <c r="L21" s="19">
        <f>SUM(L13:L20)</f>
        <v>63.21</v>
      </c>
    </row>
    <row r="22" spans="1:12" ht="15" x14ac:dyDescent="0.2">
      <c r="A22" s="29">
        <f>A6</f>
        <v>1</v>
      </c>
      <c r="B22" s="30">
        <f>B6</f>
        <v>1</v>
      </c>
      <c r="C22" s="78" t="s">
        <v>4</v>
      </c>
      <c r="D22" s="79"/>
      <c r="E22" s="31"/>
      <c r="F22" s="32">
        <f>F12+F21</f>
        <v>1479</v>
      </c>
      <c r="G22" s="32">
        <f>G12+G21</f>
        <v>41.5</v>
      </c>
      <c r="H22" s="32">
        <f>H12+H21</f>
        <v>50.4</v>
      </c>
      <c r="I22" s="32">
        <f>I12+I21</f>
        <v>197</v>
      </c>
      <c r="J22" s="32">
        <f>J12+J21</f>
        <v>1492.8000000000002</v>
      </c>
      <c r="K22" s="32"/>
      <c r="L22" s="32">
        <f>L12+L21</f>
        <v>148.21</v>
      </c>
    </row>
    <row r="23" spans="1:12" ht="15" x14ac:dyDescent="0.25">
      <c r="A23" s="14">
        <v>1</v>
      </c>
      <c r="B23" s="15">
        <v>2</v>
      </c>
      <c r="C23" s="22" t="s">
        <v>19</v>
      </c>
      <c r="D23" s="5" t="s">
        <v>99</v>
      </c>
      <c r="E23" s="57" t="s">
        <v>51</v>
      </c>
      <c r="F23" s="39">
        <v>90</v>
      </c>
      <c r="G23" s="39">
        <v>14.1</v>
      </c>
      <c r="H23" s="39">
        <v>14.3</v>
      </c>
      <c r="I23" s="39">
        <v>2.6</v>
      </c>
      <c r="J23" s="39">
        <v>213</v>
      </c>
      <c r="K23" s="58" t="s">
        <v>52</v>
      </c>
      <c r="L23" s="39">
        <v>55.54</v>
      </c>
    </row>
    <row r="24" spans="1:12" ht="15" x14ac:dyDescent="0.25">
      <c r="A24" s="14"/>
      <c r="B24" s="15"/>
      <c r="C24" s="11"/>
      <c r="D24" s="73" t="s">
        <v>20</v>
      </c>
      <c r="E24" s="52" t="s">
        <v>118</v>
      </c>
      <c r="F24" s="41">
        <v>155</v>
      </c>
      <c r="G24" s="41">
        <v>5.2</v>
      </c>
      <c r="H24" s="41">
        <v>3.3</v>
      </c>
      <c r="I24" s="41">
        <v>33.4</v>
      </c>
      <c r="J24" s="41">
        <v>193</v>
      </c>
      <c r="K24" s="51" t="s">
        <v>77</v>
      </c>
      <c r="L24" s="41">
        <v>15.51</v>
      </c>
    </row>
    <row r="25" spans="1:12" ht="15" x14ac:dyDescent="0.25">
      <c r="A25" s="14"/>
      <c r="B25" s="15"/>
      <c r="C25" s="11"/>
      <c r="D25" s="7" t="s">
        <v>21</v>
      </c>
      <c r="E25" s="52" t="s">
        <v>122</v>
      </c>
      <c r="F25" s="41">
        <v>200</v>
      </c>
      <c r="G25" s="66">
        <v>0.3</v>
      </c>
      <c r="H25" s="66">
        <v>0.1</v>
      </c>
      <c r="I25" s="66">
        <v>6.2</v>
      </c>
      <c r="J25" s="41">
        <v>25.7</v>
      </c>
      <c r="K25" s="51" t="s">
        <v>127</v>
      </c>
      <c r="L25" s="41">
        <v>11.06</v>
      </c>
    </row>
    <row r="26" spans="1:12" ht="15" x14ac:dyDescent="0.25">
      <c r="A26" s="14"/>
      <c r="B26" s="15"/>
      <c r="C26" s="11"/>
      <c r="D26" s="7" t="s">
        <v>22</v>
      </c>
      <c r="E26" s="40" t="s">
        <v>43</v>
      </c>
      <c r="F26" s="41">
        <v>38</v>
      </c>
      <c r="G26" s="66">
        <v>3</v>
      </c>
      <c r="H26" s="41">
        <v>0.4</v>
      </c>
      <c r="I26" s="66">
        <v>19</v>
      </c>
      <c r="J26" s="41">
        <v>91.6</v>
      </c>
      <c r="K26" s="51" t="s">
        <v>45</v>
      </c>
      <c r="L26" s="41">
        <v>1.8</v>
      </c>
    </row>
    <row r="27" spans="1:12" ht="15" x14ac:dyDescent="0.25">
      <c r="A27" s="14"/>
      <c r="B27" s="15"/>
      <c r="C27" s="11"/>
      <c r="D27" s="7" t="s">
        <v>25</v>
      </c>
      <c r="E27" s="40" t="s">
        <v>119</v>
      </c>
      <c r="F27" s="41">
        <v>60</v>
      </c>
      <c r="G27" s="41">
        <v>0.9</v>
      </c>
      <c r="H27" s="41">
        <v>6.1</v>
      </c>
      <c r="I27" s="41">
        <v>4.5999999999999996</v>
      </c>
      <c r="J27" s="41">
        <v>135.6</v>
      </c>
      <c r="K27" s="42" t="s">
        <v>80</v>
      </c>
      <c r="L27" s="41">
        <v>11.06</v>
      </c>
    </row>
    <row r="28" spans="1:12" ht="15" x14ac:dyDescent="0.25">
      <c r="A28" s="14"/>
      <c r="B28" s="15"/>
      <c r="C28" s="11"/>
      <c r="D28" s="6" t="s">
        <v>101</v>
      </c>
      <c r="E28" s="52" t="s">
        <v>56</v>
      </c>
      <c r="F28" s="41">
        <v>30</v>
      </c>
      <c r="G28" s="66">
        <v>0.3</v>
      </c>
      <c r="H28" s="41">
        <v>0.6</v>
      </c>
      <c r="I28" s="41">
        <v>2.1</v>
      </c>
      <c r="J28" s="66">
        <v>13.8</v>
      </c>
      <c r="K28" s="51" t="s">
        <v>57</v>
      </c>
      <c r="L28" s="41">
        <v>1.0900000000000001</v>
      </c>
    </row>
    <row r="29" spans="1:12" ht="15" x14ac:dyDescent="0.25">
      <c r="A29" s="14"/>
      <c r="B29" s="15"/>
      <c r="C29" s="11"/>
      <c r="D29" s="6"/>
      <c r="E29" s="52"/>
      <c r="F29" s="41"/>
      <c r="G29" s="41"/>
      <c r="H29" s="41"/>
      <c r="I29" s="41"/>
      <c r="J29" s="41"/>
      <c r="K29" s="55"/>
      <c r="L29" s="41"/>
    </row>
    <row r="30" spans="1:12" ht="15" x14ac:dyDescent="0.25">
      <c r="A30" s="16"/>
      <c r="B30" s="17"/>
      <c r="C30" s="8"/>
      <c r="D30" s="18" t="s">
        <v>32</v>
      </c>
      <c r="E30" s="9"/>
      <c r="F30" s="19">
        <f>SUM(F23:F29)</f>
        <v>573</v>
      </c>
      <c r="G30" s="19">
        <f t="shared" ref="G30" si="0">SUM(G23:G29)</f>
        <v>23.8</v>
      </c>
      <c r="H30" s="68">
        <f t="shared" ref="H30" si="1">SUM(H23:H29)</f>
        <v>24.800000000000004</v>
      </c>
      <c r="I30" s="19">
        <f t="shared" ref="I30" si="2">SUM(I23:I29)</f>
        <v>67.899999999999991</v>
      </c>
      <c r="J30" s="19">
        <f t="shared" ref="J30:L30" si="3">SUM(J23:J29)</f>
        <v>672.69999999999993</v>
      </c>
      <c r="K30" s="25"/>
      <c r="L30" s="19">
        <f t="shared" si="3"/>
        <v>96.06</v>
      </c>
    </row>
    <row r="31" spans="1:12" ht="15" x14ac:dyDescent="0.25">
      <c r="A31" s="26">
        <v>1</v>
      </c>
      <c r="B31" s="13">
        <v>2</v>
      </c>
      <c r="C31" s="10" t="s">
        <v>24</v>
      </c>
      <c r="D31" s="18"/>
      <c r="E31" s="9"/>
      <c r="F31" s="19"/>
      <c r="G31" s="19"/>
      <c r="H31" s="68"/>
      <c r="I31" s="19"/>
      <c r="J31" s="19"/>
      <c r="K31" s="25"/>
      <c r="L31" s="19"/>
    </row>
    <row r="32" spans="1:12" ht="15" x14ac:dyDescent="0.25">
      <c r="A32" s="14"/>
      <c r="B32" s="15"/>
      <c r="C32" s="11"/>
      <c r="D32" s="7" t="s">
        <v>26</v>
      </c>
      <c r="E32" s="52" t="s">
        <v>116</v>
      </c>
      <c r="F32" s="41">
        <v>250</v>
      </c>
      <c r="G32" s="66">
        <v>2.6</v>
      </c>
      <c r="H32" s="41">
        <v>2.4</v>
      </c>
      <c r="I32" s="41">
        <v>18.899999999999999</v>
      </c>
      <c r="J32" s="41">
        <v>107.9</v>
      </c>
      <c r="K32" s="51" t="s">
        <v>71</v>
      </c>
      <c r="L32" s="41">
        <v>11.05</v>
      </c>
    </row>
    <row r="33" spans="1:12" ht="15" x14ac:dyDescent="0.25">
      <c r="A33" s="14"/>
      <c r="B33" s="15"/>
      <c r="C33" s="11"/>
      <c r="D33" s="7" t="s">
        <v>27</v>
      </c>
      <c r="E33" s="52" t="s">
        <v>59</v>
      </c>
      <c r="F33" s="41">
        <v>90</v>
      </c>
      <c r="G33" s="66">
        <v>12.4</v>
      </c>
      <c r="H33" s="41">
        <v>0.7</v>
      </c>
      <c r="I33" s="41">
        <v>0.6</v>
      </c>
      <c r="J33" s="41">
        <v>251.7</v>
      </c>
      <c r="K33" s="42">
        <v>303</v>
      </c>
      <c r="L33" s="41">
        <v>33.6</v>
      </c>
    </row>
    <row r="34" spans="1:12" ht="15" x14ac:dyDescent="0.25">
      <c r="A34" s="14"/>
      <c r="B34" s="15"/>
      <c r="C34" s="11"/>
      <c r="D34" s="7" t="s">
        <v>28</v>
      </c>
      <c r="E34" s="52" t="s">
        <v>103</v>
      </c>
      <c r="F34" s="41">
        <v>150</v>
      </c>
      <c r="G34" s="41">
        <v>3.5</v>
      </c>
      <c r="H34" s="41">
        <v>3.4</v>
      </c>
      <c r="I34" s="41">
        <v>34.200000000000003</v>
      </c>
      <c r="J34" s="41">
        <v>191.5</v>
      </c>
      <c r="K34" s="51" t="s">
        <v>104</v>
      </c>
      <c r="L34" s="41">
        <v>10.86</v>
      </c>
    </row>
    <row r="35" spans="1:12" ht="15" x14ac:dyDescent="0.25">
      <c r="A35" s="14"/>
      <c r="B35" s="15"/>
      <c r="C35" s="11"/>
      <c r="D35" s="7" t="s">
        <v>29</v>
      </c>
      <c r="E35" s="52" t="s">
        <v>102</v>
      </c>
      <c r="F35" s="41">
        <v>205</v>
      </c>
      <c r="G35" s="66">
        <v>0.1</v>
      </c>
      <c r="H35" s="66">
        <v>0</v>
      </c>
      <c r="I35" s="41">
        <v>4.5999999999999996</v>
      </c>
      <c r="J35" s="41">
        <v>17.100000000000001</v>
      </c>
      <c r="K35" s="51" t="s">
        <v>42</v>
      </c>
      <c r="L35" s="41">
        <v>11.06</v>
      </c>
    </row>
    <row r="36" spans="1:12" ht="15" x14ac:dyDescent="0.25">
      <c r="A36" s="14"/>
      <c r="B36" s="15"/>
      <c r="C36" s="11"/>
      <c r="D36" s="7" t="s">
        <v>30</v>
      </c>
      <c r="E36" s="40" t="s">
        <v>43</v>
      </c>
      <c r="F36" s="41">
        <v>38</v>
      </c>
      <c r="G36" s="41">
        <v>3</v>
      </c>
      <c r="H36" s="41">
        <v>0.4</v>
      </c>
      <c r="I36" s="41">
        <v>19</v>
      </c>
      <c r="J36" s="41">
        <v>91.6</v>
      </c>
      <c r="K36" s="51" t="s">
        <v>45</v>
      </c>
      <c r="L36" s="41">
        <v>3.61</v>
      </c>
    </row>
    <row r="37" spans="1:12" ht="15" x14ac:dyDescent="0.25">
      <c r="A37" s="14"/>
      <c r="B37" s="15"/>
      <c r="C37" s="11"/>
      <c r="D37" s="7" t="s">
        <v>31</v>
      </c>
      <c r="E37" s="40" t="s">
        <v>97</v>
      </c>
      <c r="F37" s="41">
        <v>38</v>
      </c>
      <c r="G37" s="41">
        <v>3.1</v>
      </c>
      <c r="H37" s="41">
        <v>0.3</v>
      </c>
      <c r="I37" s="41">
        <v>19.5</v>
      </c>
      <c r="J37" s="41">
        <v>94.3</v>
      </c>
      <c r="K37" s="51" t="s">
        <v>98</v>
      </c>
      <c r="L37" s="41">
        <v>3.61</v>
      </c>
    </row>
    <row r="38" spans="1:12" ht="15" x14ac:dyDescent="0.25">
      <c r="A38" s="14"/>
      <c r="B38" s="15"/>
      <c r="C38" s="11"/>
      <c r="D38" s="6"/>
      <c r="E38" s="40"/>
      <c r="F38" s="41"/>
      <c r="G38" s="41"/>
      <c r="H38" s="41"/>
      <c r="I38" s="41"/>
      <c r="J38" s="41"/>
      <c r="K38" s="42"/>
      <c r="L38" s="41"/>
    </row>
    <row r="39" spans="1:12" ht="15" x14ac:dyDescent="0.25">
      <c r="A39" s="16"/>
      <c r="B39" s="17"/>
      <c r="C39" s="8"/>
      <c r="D39" s="18" t="s">
        <v>32</v>
      </c>
      <c r="E39" s="9"/>
      <c r="F39" s="19">
        <f>SUM(F32:F38)</f>
        <v>771</v>
      </c>
      <c r="G39" s="19">
        <f>SUM(G32:G38)</f>
        <v>24.700000000000003</v>
      </c>
      <c r="H39" s="19">
        <f>SUM(H32:H38)</f>
        <v>7.2</v>
      </c>
      <c r="I39" s="19">
        <f>SUM(I32:I38)</f>
        <v>96.800000000000011</v>
      </c>
      <c r="J39" s="19">
        <f>SUM(J32:J38)</f>
        <v>754.1</v>
      </c>
      <c r="K39" s="25"/>
      <c r="L39" s="19">
        <f>SUM(L32:L38)</f>
        <v>73.790000000000006</v>
      </c>
    </row>
    <row r="40" spans="1:12" ht="15.75" customHeight="1" x14ac:dyDescent="0.2">
      <c r="A40" s="33">
        <f>A23</f>
        <v>1</v>
      </c>
      <c r="B40" s="33">
        <f>B23</f>
        <v>2</v>
      </c>
      <c r="C40" s="78" t="s">
        <v>4</v>
      </c>
      <c r="D40" s="79"/>
      <c r="E40" s="31"/>
      <c r="F40" s="32">
        <f>F30+F39</f>
        <v>1344</v>
      </c>
      <c r="G40" s="32">
        <f>G30+G39</f>
        <v>48.5</v>
      </c>
      <c r="H40" s="32">
        <f>H30+H39</f>
        <v>32.000000000000007</v>
      </c>
      <c r="I40" s="32">
        <f>I30+I39</f>
        <v>164.7</v>
      </c>
      <c r="J40" s="32">
        <f>J30+J39</f>
        <v>1426.8</v>
      </c>
      <c r="K40" s="32"/>
      <c r="L40" s="32">
        <f>L30+L39</f>
        <v>169.85000000000002</v>
      </c>
    </row>
    <row r="41" spans="1:12" ht="15" x14ac:dyDescent="0.25">
      <c r="A41" s="20">
        <v>1</v>
      </c>
      <c r="B41" s="21">
        <v>3</v>
      </c>
      <c r="C41" s="22" t="s">
        <v>19</v>
      </c>
      <c r="D41" s="5" t="s">
        <v>20</v>
      </c>
      <c r="E41" s="57" t="s">
        <v>128</v>
      </c>
      <c r="F41" s="39">
        <v>210</v>
      </c>
      <c r="G41" s="39">
        <v>5.6</v>
      </c>
      <c r="H41" s="39">
        <v>8.1999999999999993</v>
      </c>
      <c r="I41" s="39">
        <v>38.1</v>
      </c>
      <c r="J41" s="39">
        <v>267.89999999999998</v>
      </c>
      <c r="K41" s="58" t="s">
        <v>41</v>
      </c>
      <c r="L41" s="39">
        <v>34.97</v>
      </c>
    </row>
    <row r="42" spans="1:12" ht="15" x14ac:dyDescent="0.25">
      <c r="A42" s="23"/>
      <c r="B42" s="15"/>
      <c r="C42" s="11"/>
      <c r="D42" s="6" t="s">
        <v>25</v>
      </c>
      <c r="E42" s="40" t="s">
        <v>86</v>
      </c>
      <c r="F42" s="41">
        <v>40</v>
      </c>
      <c r="G42" s="41">
        <v>4.2</v>
      </c>
      <c r="H42" s="66">
        <v>3.8</v>
      </c>
      <c r="I42" s="41">
        <v>0.2</v>
      </c>
      <c r="J42" s="41">
        <v>49.1</v>
      </c>
      <c r="K42" s="42" t="s">
        <v>87</v>
      </c>
      <c r="L42" s="41">
        <v>16.239999999999998</v>
      </c>
    </row>
    <row r="43" spans="1:12" ht="15" x14ac:dyDescent="0.25">
      <c r="A43" s="23"/>
      <c r="B43" s="15"/>
      <c r="C43" s="11"/>
      <c r="D43" s="7" t="s">
        <v>21</v>
      </c>
      <c r="E43" s="52" t="s">
        <v>84</v>
      </c>
      <c r="F43" s="41">
        <v>200</v>
      </c>
      <c r="G43" s="41">
        <v>1</v>
      </c>
      <c r="H43" s="41">
        <v>0</v>
      </c>
      <c r="I43" s="66">
        <v>14.6</v>
      </c>
      <c r="J43" s="41">
        <v>59.3</v>
      </c>
      <c r="K43" s="51" t="s">
        <v>62</v>
      </c>
      <c r="L43" s="41">
        <v>13.6</v>
      </c>
    </row>
    <row r="44" spans="1:12" ht="15" x14ac:dyDescent="0.25">
      <c r="A44" s="23"/>
      <c r="B44" s="15"/>
      <c r="C44" s="11"/>
      <c r="D44" s="7" t="s">
        <v>22</v>
      </c>
      <c r="E44" s="40" t="s">
        <v>43</v>
      </c>
      <c r="F44" s="41">
        <v>38</v>
      </c>
      <c r="G44" s="66">
        <v>3</v>
      </c>
      <c r="H44" s="41">
        <v>0.4</v>
      </c>
      <c r="I44" s="66">
        <v>19</v>
      </c>
      <c r="J44" s="41">
        <v>91.6</v>
      </c>
      <c r="K44" s="51" t="s">
        <v>45</v>
      </c>
      <c r="L44" s="41">
        <v>1.8</v>
      </c>
    </row>
    <row r="45" spans="1:12" ht="15" x14ac:dyDescent="0.25">
      <c r="A45" s="23"/>
      <c r="B45" s="15"/>
      <c r="C45" s="11"/>
      <c r="D45" s="6" t="s">
        <v>25</v>
      </c>
      <c r="E45" s="52" t="s">
        <v>129</v>
      </c>
      <c r="F45" s="41">
        <v>65</v>
      </c>
      <c r="G45" s="41">
        <v>2.2000000000000002</v>
      </c>
      <c r="H45" s="41">
        <v>9.5</v>
      </c>
      <c r="I45" s="41">
        <v>25.2</v>
      </c>
      <c r="J45" s="41">
        <v>210.6</v>
      </c>
      <c r="K45" s="55" t="s">
        <v>130</v>
      </c>
      <c r="L45" s="41">
        <v>18.39</v>
      </c>
    </row>
    <row r="46" spans="1:12" ht="15" x14ac:dyDescent="0.25">
      <c r="A46" s="23"/>
      <c r="B46" s="15"/>
      <c r="C46" s="11"/>
      <c r="D46" s="6"/>
      <c r="E46" s="40"/>
      <c r="F46" s="41"/>
      <c r="G46" s="41"/>
      <c r="H46" s="41"/>
      <c r="I46" s="41"/>
      <c r="J46" s="41"/>
      <c r="K46" s="42"/>
      <c r="L46" s="41"/>
    </row>
    <row r="47" spans="1:12" ht="15" x14ac:dyDescent="0.25">
      <c r="A47" s="24"/>
      <c r="B47" s="17"/>
      <c r="C47" s="8"/>
      <c r="D47" s="18" t="s">
        <v>32</v>
      </c>
      <c r="E47" s="9"/>
      <c r="F47" s="19">
        <f>SUM(F41:F46)</f>
        <v>553</v>
      </c>
      <c r="G47" s="19">
        <f>SUM(G41:G46)</f>
        <v>16</v>
      </c>
      <c r="H47" s="19">
        <f>SUM(H41:H46)</f>
        <v>21.9</v>
      </c>
      <c r="I47" s="19">
        <f>SUM(I41:I46)</f>
        <v>97.100000000000009</v>
      </c>
      <c r="J47" s="19">
        <f>SUM(J41:J46)</f>
        <v>678.5</v>
      </c>
      <c r="K47" s="25"/>
      <c r="L47" s="19">
        <f>SUM(L41:L46)</f>
        <v>84.999999999999986</v>
      </c>
    </row>
    <row r="48" spans="1:12" ht="15" x14ac:dyDescent="0.25">
      <c r="A48" s="23">
        <v>1</v>
      </c>
      <c r="B48" s="15">
        <v>3</v>
      </c>
      <c r="C48" s="10" t="s">
        <v>24</v>
      </c>
      <c r="D48" s="18"/>
      <c r="E48" s="9"/>
      <c r="F48" s="19"/>
      <c r="G48" s="19"/>
      <c r="H48" s="19"/>
      <c r="I48" s="19"/>
      <c r="J48" s="19"/>
      <c r="K48" s="25"/>
      <c r="L48" s="19"/>
    </row>
    <row r="49" spans="1:12" ht="15" x14ac:dyDescent="0.25">
      <c r="A49" s="23"/>
      <c r="B49" s="15"/>
      <c r="C49" s="11"/>
      <c r="D49" s="59" t="s">
        <v>26</v>
      </c>
      <c r="E49" s="52" t="s">
        <v>65</v>
      </c>
      <c r="F49" s="41">
        <v>250</v>
      </c>
      <c r="G49" s="41">
        <v>5.7</v>
      </c>
      <c r="H49" s="41">
        <v>5.2</v>
      </c>
      <c r="I49" s="41">
        <v>18.3</v>
      </c>
      <c r="J49" s="41">
        <v>140.30000000000001</v>
      </c>
      <c r="K49" s="51" t="s">
        <v>66</v>
      </c>
      <c r="L49" s="41">
        <v>6.98</v>
      </c>
    </row>
    <row r="50" spans="1:12" ht="15" x14ac:dyDescent="0.25">
      <c r="A50" s="23"/>
      <c r="B50" s="15"/>
      <c r="C50" s="11"/>
      <c r="D50" s="7" t="s">
        <v>27</v>
      </c>
      <c r="E50" s="52" t="s">
        <v>131</v>
      </c>
      <c r="F50" s="41">
        <v>90</v>
      </c>
      <c r="G50" s="41">
        <v>12</v>
      </c>
      <c r="H50" s="41">
        <v>19.2</v>
      </c>
      <c r="I50" s="41">
        <v>15.6</v>
      </c>
      <c r="J50" s="41">
        <v>293.7</v>
      </c>
      <c r="K50" s="51" t="s">
        <v>76</v>
      </c>
      <c r="L50" s="41">
        <v>43.85</v>
      </c>
    </row>
    <row r="51" spans="1:12" ht="15" x14ac:dyDescent="0.25">
      <c r="A51" s="23"/>
      <c r="B51" s="15"/>
      <c r="C51" s="11"/>
      <c r="D51" s="7" t="s">
        <v>28</v>
      </c>
      <c r="E51" s="52" t="s">
        <v>114</v>
      </c>
      <c r="F51" s="41">
        <v>150</v>
      </c>
      <c r="G51" s="41">
        <v>3.5</v>
      </c>
      <c r="H51" s="41">
        <v>5.0999999999999996</v>
      </c>
      <c r="I51" s="41">
        <v>14.3</v>
      </c>
      <c r="J51" s="41">
        <v>459.1</v>
      </c>
      <c r="K51" s="51" t="s">
        <v>115</v>
      </c>
      <c r="L51" s="41">
        <v>12</v>
      </c>
    </row>
    <row r="52" spans="1:12" ht="15" x14ac:dyDescent="0.25">
      <c r="A52" s="23"/>
      <c r="B52" s="15"/>
      <c r="C52" s="11"/>
      <c r="D52" s="7" t="s">
        <v>29</v>
      </c>
      <c r="E52" s="52" t="s">
        <v>102</v>
      </c>
      <c r="F52" s="41">
        <v>205</v>
      </c>
      <c r="G52" s="41">
        <v>0.1</v>
      </c>
      <c r="H52" s="41">
        <v>0</v>
      </c>
      <c r="I52" s="41">
        <v>4.5999999999999996</v>
      </c>
      <c r="J52" s="41">
        <v>17.100000000000001</v>
      </c>
      <c r="K52" s="51" t="s">
        <v>42</v>
      </c>
      <c r="L52" s="41">
        <v>4.5599999999999996</v>
      </c>
    </row>
    <row r="53" spans="1:12" ht="15" x14ac:dyDescent="0.25">
      <c r="A53" s="23"/>
      <c r="B53" s="15"/>
      <c r="C53" s="11"/>
      <c r="D53" s="7" t="s">
        <v>30</v>
      </c>
      <c r="E53" s="40" t="s">
        <v>43</v>
      </c>
      <c r="F53" s="41">
        <v>38</v>
      </c>
      <c r="G53" s="41">
        <v>3</v>
      </c>
      <c r="H53" s="41">
        <v>0.4</v>
      </c>
      <c r="I53" s="41">
        <v>19</v>
      </c>
      <c r="J53" s="41">
        <v>91.6</v>
      </c>
      <c r="K53" s="51" t="s">
        <v>45</v>
      </c>
      <c r="L53" s="41">
        <v>3.61</v>
      </c>
    </row>
    <row r="54" spans="1:12" ht="15" x14ac:dyDescent="0.25">
      <c r="A54" s="23"/>
      <c r="B54" s="15"/>
      <c r="C54" s="11"/>
      <c r="D54" s="7" t="s">
        <v>31</v>
      </c>
      <c r="E54" s="40" t="s">
        <v>97</v>
      </c>
      <c r="F54" s="41">
        <v>38</v>
      </c>
      <c r="G54" s="41">
        <v>3.1</v>
      </c>
      <c r="H54" s="41">
        <v>0.3</v>
      </c>
      <c r="I54" s="41">
        <v>19.5</v>
      </c>
      <c r="J54" s="41">
        <v>94.3</v>
      </c>
      <c r="K54" s="51" t="s">
        <v>98</v>
      </c>
      <c r="L54" s="41">
        <v>3.61</v>
      </c>
    </row>
    <row r="55" spans="1:12" ht="15" x14ac:dyDescent="0.25">
      <c r="A55" s="23"/>
      <c r="B55" s="15"/>
      <c r="C55" s="11"/>
      <c r="D55" s="6"/>
      <c r="E55" s="40"/>
      <c r="F55" s="41"/>
      <c r="G55" s="41"/>
      <c r="H55" s="41"/>
      <c r="I55" s="41"/>
      <c r="J55" s="41"/>
      <c r="K55" s="42"/>
      <c r="L55" s="41"/>
    </row>
    <row r="56" spans="1:12" ht="15" x14ac:dyDescent="0.25">
      <c r="A56" s="23"/>
      <c r="B56" s="15"/>
      <c r="C56" s="11"/>
      <c r="D56" s="6"/>
      <c r="E56" s="40"/>
      <c r="F56" s="41"/>
      <c r="G56" s="41"/>
      <c r="H56" s="41"/>
      <c r="I56" s="41"/>
      <c r="J56" s="41"/>
      <c r="K56" s="42"/>
      <c r="L56" s="41"/>
    </row>
    <row r="57" spans="1:12" ht="15" x14ac:dyDescent="0.25">
      <c r="A57" s="24"/>
      <c r="B57" s="17"/>
      <c r="C57" s="8"/>
      <c r="D57" s="18" t="s">
        <v>32</v>
      </c>
      <c r="E57" s="9"/>
      <c r="F57" s="19">
        <f>SUM(F49:F56)</f>
        <v>771</v>
      </c>
      <c r="G57" s="19">
        <f>SUM(G49:G56)</f>
        <v>27.400000000000002</v>
      </c>
      <c r="H57" s="19">
        <f>SUM(H49:H56)</f>
        <v>30.2</v>
      </c>
      <c r="I57" s="19">
        <f>SUM(I49:I56)</f>
        <v>91.300000000000011</v>
      </c>
      <c r="J57" s="19">
        <f>SUM(J49:J56)</f>
        <v>1096.1000000000001</v>
      </c>
      <c r="K57" s="25"/>
      <c r="L57" s="19">
        <f>SUM(L49:L56)</f>
        <v>74.61</v>
      </c>
    </row>
    <row r="58" spans="1:12" ht="15.75" customHeight="1" thickBot="1" x14ac:dyDescent="0.25">
      <c r="A58" s="29">
        <f>A41</f>
        <v>1</v>
      </c>
      <c r="B58" s="30">
        <f>B41</f>
        <v>3</v>
      </c>
      <c r="C58" s="78" t="s">
        <v>4</v>
      </c>
      <c r="D58" s="79"/>
      <c r="E58" s="31"/>
      <c r="F58" s="32">
        <f>F47+F57</f>
        <v>1324</v>
      </c>
      <c r="G58" s="32">
        <f>G47+G57</f>
        <v>43.400000000000006</v>
      </c>
      <c r="H58" s="32">
        <f>H47+H57</f>
        <v>52.099999999999994</v>
      </c>
      <c r="I58" s="32">
        <f>I47+I57</f>
        <v>188.40000000000003</v>
      </c>
      <c r="J58" s="32">
        <f>J47+J57</f>
        <v>1774.6000000000001</v>
      </c>
      <c r="K58" s="32"/>
      <c r="L58" s="32">
        <f>L47+L57</f>
        <v>159.60999999999999</v>
      </c>
    </row>
    <row r="59" spans="1:12" ht="15.75" thickBot="1" x14ac:dyDescent="0.3">
      <c r="A59" s="20">
        <v>1</v>
      </c>
      <c r="B59" s="21">
        <v>4</v>
      </c>
      <c r="C59" s="22" t="s">
        <v>19</v>
      </c>
      <c r="D59" s="5" t="s">
        <v>20</v>
      </c>
      <c r="E59" s="52" t="s">
        <v>60</v>
      </c>
      <c r="F59" s="41">
        <v>150</v>
      </c>
      <c r="G59" s="41">
        <v>8.5</v>
      </c>
      <c r="H59" s="41">
        <v>5.0999999999999996</v>
      </c>
      <c r="I59" s="41">
        <v>40.200000000000003</v>
      </c>
      <c r="J59" s="41">
        <v>249.9</v>
      </c>
      <c r="K59" s="51" t="s">
        <v>61</v>
      </c>
      <c r="L59" s="41">
        <v>11.8</v>
      </c>
    </row>
    <row r="60" spans="1:12" ht="15" x14ac:dyDescent="0.25">
      <c r="A60" s="23"/>
      <c r="B60" s="15"/>
      <c r="C60" s="11"/>
      <c r="D60" s="6" t="s">
        <v>99</v>
      </c>
      <c r="E60" s="57" t="s">
        <v>69</v>
      </c>
      <c r="F60" s="39">
        <v>90</v>
      </c>
      <c r="G60" s="39">
        <v>16.3</v>
      </c>
      <c r="H60" s="39">
        <v>15.2</v>
      </c>
      <c r="I60" s="39">
        <v>10.199999999999999</v>
      </c>
      <c r="J60" s="39">
        <v>256.89999999999998</v>
      </c>
      <c r="K60" s="58" t="s">
        <v>70</v>
      </c>
      <c r="L60" s="39">
        <v>51.05</v>
      </c>
    </row>
    <row r="61" spans="1:12" ht="15" x14ac:dyDescent="0.25">
      <c r="A61" s="23"/>
      <c r="B61" s="15"/>
      <c r="C61" s="11"/>
      <c r="D61" s="7" t="s">
        <v>21</v>
      </c>
      <c r="E61" s="52" t="s">
        <v>83</v>
      </c>
      <c r="F61" s="41">
        <v>200</v>
      </c>
      <c r="G61" s="41">
        <v>0.7</v>
      </c>
      <c r="H61" s="41">
        <v>0</v>
      </c>
      <c r="I61" s="41">
        <v>8.5</v>
      </c>
      <c r="J61" s="41">
        <v>36.9</v>
      </c>
      <c r="K61" s="51" t="s">
        <v>88</v>
      </c>
      <c r="L61" s="41">
        <v>8.7200000000000006</v>
      </c>
    </row>
    <row r="62" spans="1:12" ht="15" x14ac:dyDescent="0.25">
      <c r="A62" s="23"/>
      <c r="B62" s="15"/>
      <c r="C62" s="11"/>
      <c r="D62" s="7" t="s">
        <v>22</v>
      </c>
      <c r="E62" s="40" t="s">
        <v>43</v>
      </c>
      <c r="F62" s="41">
        <v>38</v>
      </c>
      <c r="G62" s="65">
        <v>3</v>
      </c>
      <c r="H62" s="41">
        <v>0.4</v>
      </c>
      <c r="I62" s="65">
        <v>19</v>
      </c>
      <c r="J62" s="41">
        <v>91.6</v>
      </c>
      <c r="K62" s="51" t="s">
        <v>45</v>
      </c>
      <c r="L62" s="41">
        <v>1.8</v>
      </c>
    </row>
    <row r="63" spans="1:12" ht="15" x14ac:dyDescent="0.25">
      <c r="A63" s="23"/>
      <c r="B63" s="15"/>
      <c r="C63" s="11"/>
      <c r="D63" s="6" t="s">
        <v>101</v>
      </c>
      <c r="E63" s="52" t="s">
        <v>56</v>
      </c>
      <c r="F63" s="41">
        <v>30</v>
      </c>
      <c r="G63" s="41">
        <v>0.3</v>
      </c>
      <c r="H63" s="41">
        <v>0.6</v>
      </c>
      <c r="I63" s="41">
        <v>2.1</v>
      </c>
      <c r="J63" s="41">
        <v>13.8</v>
      </c>
      <c r="K63" s="51" t="s">
        <v>57</v>
      </c>
      <c r="L63" s="41">
        <v>0.82</v>
      </c>
    </row>
    <row r="64" spans="1:12" ht="15" x14ac:dyDescent="0.25">
      <c r="A64" s="23"/>
      <c r="B64" s="15"/>
      <c r="C64" s="11"/>
      <c r="D64" s="6" t="s">
        <v>25</v>
      </c>
      <c r="E64" s="52" t="s">
        <v>120</v>
      </c>
      <c r="F64" s="41">
        <v>60</v>
      </c>
      <c r="G64" s="41">
        <v>3.3</v>
      </c>
      <c r="H64" s="41">
        <v>12.2</v>
      </c>
      <c r="I64" s="41">
        <v>2.5</v>
      </c>
      <c r="J64" s="41">
        <v>119.7</v>
      </c>
      <c r="K64" s="55" t="s">
        <v>121</v>
      </c>
      <c r="L64" s="41">
        <v>10.81</v>
      </c>
    </row>
    <row r="65" spans="1:12" ht="15" x14ac:dyDescent="0.25">
      <c r="A65" s="24"/>
      <c r="B65" s="17"/>
      <c r="C65" s="8"/>
      <c r="D65" s="18" t="s">
        <v>32</v>
      </c>
      <c r="E65" s="9"/>
      <c r="F65" s="19">
        <f>SUM(F59:F64)</f>
        <v>568</v>
      </c>
      <c r="G65" s="19">
        <f>SUM(G59:G64)</f>
        <v>32.1</v>
      </c>
      <c r="H65" s="19">
        <f>SUM(H59:H64)</f>
        <v>33.5</v>
      </c>
      <c r="I65" s="19">
        <f>SUM(I59:I64)</f>
        <v>82.5</v>
      </c>
      <c r="J65" s="19">
        <f>SUM(J59:J64)</f>
        <v>768.8</v>
      </c>
      <c r="K65" s="25"/>
      <c r="L65" s="19">
        <f>SUM(L59:L64)</f>
        <v>84.999999999999986</v>
      </c>
    </row>
    <row r="66" spans="1:12" ht="15" x14ac:dyDescent="0.25">
      <c r="A66" s="23">
        <v>1</v>
      </c>
      <c r="B66" s="15">
        <v>4</v>
      </c>
      <c r="C66" s="10" t="s">
        <v>24</v>
      </c>
      <c r="D66" s="18"/>
      <c r="E66" s="18"/>
      <c r="F66" s="18"/>
      <c r="G66" s="18"/>
      <c r="H66" s="18"/>
      <c r="I66" s="18"/>
      <c r="J66" s="18"/>
      <c r="K66" s="18"/>
      <c r="L66" s="18"/>
    </row>
    <row r="67" spans="1:12" ht="15" x14ac:dyDescent="0.25">
      <c r="A67" s="23"/>
      <c r="B67" s="15"/>
      <c r="C67" s="11"/>
      <c r="D67" s="7" t="s">
        <v>26</v>
      </c>
      <c r="E67" s="52" t="s">
        <v>108</v>
      </c>
      <c r="F67" s="41">
        <v>255</v>
      </c>
      <c r="G67" s="41">
        <v>2.2000000000000002</v>
      </c>
      <c r="H67" s="41">
        <v>6.3</v>
      </c>
      <c r="I67" s="41">
        <v>9</v>
      </c>
      <c r="J67" s="62">
        <v>202.4</v>
      </c>
      <c r="K67" s="51" t="s">
        <v>48</v>
      </c>
      <c r="L67" s="41">
        <v>6.66</v>
      </c>
    </row>
    <row r="68" spans="1:12" ht="15" x14ac:dyDescent="0.25">
      <c r="A68" s="23"/>
      <c r="B68" s="15"/>
      <c r="C68" s="11"/>
      <c r="D68" s="7" t="s">
        <v>27</v>
      </c>
      <c r="E68" s="52" t="s">
        <v>132</v>
      </c>
      <c r="F68" s="41">
        <v>90</v>
      </c>
      <c r="G68" s="41">
        <v>15.7</v>
      </c>
      <c r="H68" s="41">
        <v>18.7</v>
      </c>
      <c r="I68" s="41">
        <v>4.8</v>
      </c>
      <c r="J68" s="41">
        <v>239.9</v>
      </c>
      <c r="K68" s="51" t="s">
        <v>133</v>
      </c>
      <c r="L68" s="41">
        <v>47.17</v>
      </c>
    </row>
    <row r="69" spans="1:12" ht="15" x14ac:dyDescent="0.25">
      <c r="A69" s="23"/>
      <c r="B69" s="15"/>
      <c r="C69" s="11"/>
      <c r="D69" s="7" t="s">
        <v>28</v>
      </c>
      <c r="E69" s="52" t="s">
        <v>95</v>
      </c>
      <c r="F69" s="41">
        <v>150</v>
      </c>
      <c r="G69" s="41">
        <v>4.8</v>
      </c>
      <c r="H69" s="41">
        <v>7.5</v>
      </c>
      <c r="I69" s="41">
        <v>28.5</v>
      </c>
      <c r="J69" s="41">
        <v>196.7</v>
      </c>
      <c r="K69" s="51" t="s">
        <v>96</v>
      </c>
      <c r="L69" s="41">
        <v>11.56</v>
      </c>
    </row>
    <row r="70" spans="1:12" ht="15" x14ac:dyDescent="0.25">
      <c r="A70" s="23"/>
      <c r="B70" s="15"/>
      <c r="C70" s="11"/>
      <c r="D70" s="7" t="s">
        <v>29</v>
      </c>
      <c r="E70" s="52" t="s">
        <v>102</v>
      </c>
      <c r="F70" s="41">
        <v>205</v>
      </c>
      <c r="G70" s="41">
        <v>0.1</v>
      </c>
      <c r="H70" s="41">
        <v>0</v>
      </c>
      <c r="I70" s="41">
        <v>4.5999999999999996</v>
      </c>
      <c r="J70" s="41">
        <v>17.100000000000001</v>
      </c>
      <c r="K70" s="51" t="s">
        <v>42</v>
      </c>
      <c r="L70" s="41">
        <v>2</v>
      </c>
    </row>
    <row r="71" spans="1:12" ht="15" x14ac:dyDescent="0.25">
      <c r="A71" s="23"/>
      <c r="B71" s="15"/>
      <c r="C71" s="11"/>
      <c r="D71" s="7" t="s">
        <v>30</v>
      </c>
      <c r="E71" s="40" t="s">
        <v>43</v>
      </c>
      <c r="F71" s="41">
        <v>38</v>
      </c>
      <c r="G71" s="41">
        <v>3</v>
      </c>
      <c r="H71" s="41">
        <v>0.4</v>
      </c>
      <c r="I71" s="41">
        <v>19</v>
      </c>
      <c r="J71" s="41">
        <v>91.6</v>
      </c>
      <c r="K71" s="51" t="s">
        <v>45</v>
      </c>
      <c r="L71" s="41">
        <v>3.61</v>
      </c>
    </row>
    <row r="72" spans="1:12" ht="15" x14ac:dyDescent="0.25">
      <c r="A72" s="23"/>
      <c r="B72" s="15"/>
      <c r="C72" s="11"/>
      <c r="D72" s="7" t="s">
        <v>31</v>
      </c>
      <c r="E72" s="40" t="s">
        <v>97</v>
      </c>
      <c r="F72" s="41">
        <v>38</v>
      </c>
      <c r="G72" s="41">
        <v>3.1</v>
      </c>
      <c r="H72" s="41">
        <v>0.3</v>
      </c>
      <c r="I72" s="41">
        <v>19.5</v>
      </c>
      <c r="J72" s="41">
        <v>94.3</v>
      </c>
      <c r="K72" s="51" t="s">
        <v>98</v>
      </c>
      <c r="L72" s="41">
        <v>3.61</v>
      </c>
    </row>
    <row r="73" spans="1:12" ht="15" x14ac:dyDescent="0.25">
      <c r="A73" s="23"/>
      <c r="B73" s="15"/>
      <c r="C73" s="11"/>
      <c r="D73" s="6" t="s">
        <v>101</v>
      </c>
      <c r="E73" s="40" t="s">
        <v>56</v>
      </c>
      <c r="F73" s="41">
        <v>30</v>
      </c>
      <c r="G73" s="41">
        <v>0.3</v>
      </c>
      <c r="H73" s="41">
        <v>0.6</v>
      </c>
      <c r="I73" s="41">
        <v>2.1</v>
      </c>
      <c r="J73" s="41">
        <v>13.8</v>
      </c>
      <c r="K73" s="42" t="s">
        <v>105</v>
      </c>
      <c r="L73" s="41">
        <v>3.61</v>
      </c>
    </row>
    <row r="74" spans="1:12" ht="15" x14ac:dyDescent="0.25">
      <c r="A74" s="23"/>
      <c r="B74" s="15"/>
      <c r="C74" s="11"/>
      <c r="D74" s="6"/>
      <c r="E74" s="40"/>
      <c r="F74" s="41"/>
      <c r="G74" s="41"/>
      <c r="H74" s="41"/>
      <c r="I74" s="41"/>
      <c r="J74" s="41"/>
      <c r="K74" s="42"/>
      <c r="L74" s="41"/>
    </row>
    <row r="75" spans="1:12" ht="15" x14ac:dyDescent="0.25">
      <c r="A75" s="24"/>
      <c r="B75" s="17"/>
      <c r="C75" s="8"/>
      <c r="D75" s="18" t="s">
        <v>32</v>
      </c>
      <c r="E75" s="9"/>
      <c r="F75" s="19">
        <f>SUM(F67:F74)</f>
        <v>806</v>
      </c>
      <c r="G75" s="19">
        <f>SUM(G67:G74)</f>
        <v>29.200000000000003</v>
      </c>
      <c r="H75" s="19">
        <f>SUM(H67:H74)</f>
        <v>33.799999999999997</v>
      </c>
      <c r="I75" s="19">
        <f>SUM(I67:I74)</f>
        <v>87.5</v>
      </c>
      <c r="J75" s="19">
        <f>SUM(J67:J74)</f>
        <v>855.8</v>
      </c>
      <c r="K75" s="25"/>
      <c r="L75" s="19">
        <f>SUM(L67:L74)</f>
        <v>78.22</v>
      </c>
    </row>
    <row r="76" spans="1:12" ht="15.75" customHeight="1" x14ac:dyDescent="0.2">
      <c r="A76" s="29">
        <f>A59</f>
        <v>1</v>
      </c>
      <c r="B76" s="30">
        <f>B59</f>
        <v>4</v>
      </c>
      <c r="C76" s="78" t="s">
        <v>4</v>
      </c>
      <c r="D76" s="79"/>
      <c r="E76" s="31"/>
      <c r="F76" s="32">
        <f>F65+F75</f>
        <v>1374</v>
      </c>
      <c r="G76" s="32">
        <f>G65+G75</f>
        <v>61.300000000000004</v>
      </c>
      <c r="H76" s="32">
        <f>H65+H75</f>
        <v>67.3</v>
      </c>
      <c r="I76" s="32">
        <f>I65+I75</f>
        <v>170</v>
      </c>
      <c r="J76" s="32">
        <f>J65+J75</f>
        <v>1624.6</v>
      </c>
      <c r="K76" s="32"/>
      <c r="L76" s="32">
        <f>L65+L75</f>
        <v>163.21999999999997</v>
      </c>
    </row>
    <row r="77" spans="1:12" ht="15" x14ac:dyDescent="0.25">
      <c r="A77" s="20">
        <v>1</v>
      </c>
      <c r="B77" s="21">
        <v>5</v>
      </c>
      <c r="C77" s="22" t="s">
        <v>19</v>
      </c>
      <c r="D77" s="5" t="s">
        <v>20</v>
      </c>
      <c r="E77" s="57" t="s">
        <v>134</v>
      </c>
      <c r="F77" s="39">
        <v>150</v>
      </c>
      <c r="G77" s="39">
        <v>13.8</v>
      </c>
      <c r="H77" s="39">
        <v>9.9</v>
      </c>
      <c r="I77" s="39">
        <v>9.6999999999999993</v>
      </c>
      <c r="J77" s="39">
        <v>323.39999999999998</v>
      </c>
      <c r="K77" s="58" t="s">
        <v>73</v>
      </c>
      <c r="L77" s="39">
        <v>30.82</v>
      </c>
    </row>
    <row r="78" spans="1:12" ht="15" x14ac:dyDescent="0.25">
      <c r="A78" s="23"/>
      <c r="B78" s="15"/>
      <c r="C78" s="11"/>
      <c r="D78" s="6" t="s">
        <v>99</v>
      </c>
      <c r="E78" s="52" t="s">
        <v>53</v>
      </c>
      <c r="F78" s="41">
        <v>150</v>
      </c>
      <c r="G78" s="41">
        <v>3.1</v>
      </c>
      <c r="H78" s="41">
        <v>3.9</v>
      </c>
      <c r="I78" s="41">
        <v>20.2</v>
      </c>
      <c r="J78" s="41">
        <v>139.6</v>
      </c>
      <c r="K78" s="51" t="s">
        <v>74</v>
      </c>
      <c r="L78" s="41">
        <v>16.850000000000001</v>
      </c>
    </row>
    <row r="79" spans="1:12" ht="15" x14ac:dyDescent="0.25">
      <c r="A79" s="23"/>
      <c r="B79" s="15"/>
      <c r="C79" s="11"/>
      <c r="D79" s="7" t="s">
        <v>21</v>
      </c>
      <c r="E79" s="52" t="s">
        <v>135</v>
      </c>
      <c r="F79" s="41">
        <v>200</v>
      </c>
      <c r="G79" s="41">
        <v>0.4</v>
      </c>
      <c r="H79" s="41">
        <v>0</v>
      </c>
      <c r="I79" s="65">
        <v>16.600000000000001</v>
      </c>
      <c r="J79" s="41">
        <v>64.400000000000006</v>
      </c>
      <c r="K79" s="51" t="s">
        <v>62</v>
      </c>
      <c r="L79" s="41">
        <v>10.56</v>
      </c>
    </row>
    <row r="80" spans="1:12" ht="15" x14ac:dyDescent="0.25">
      <c r="A80" s="23"/>
      <c r="B80" s="15"/>
      <c r="C80" s="11"/>
      <c r="D80" s="7" t="s">
        <v>22</v>
      </c>
      <c r="E80" s="40" t="s">
        <v>43</v>
      </c>
      <c r="F80" s="41">
        <v>38</v>
      </c>
      <c r="G80" s="65">
        <v>3</v>
      </c>
      <c r="H80" s="41">
        <v>0.4</v>
      </c>
      <c r="I80" s="65">
        <v>19</v>
      </c>
      <c r="J80" s="41">
        <v>91.6</v>
      </c>
      <c r="K80" s="51" t="s">
        <v>45</v>
      </c>
      <c r="L80" s="41">
        <v>1.8</v>
      </c>
    </row>
    <row r="81" spans="1:12" ht="15" x14ac:dyDescent="0.25">
      <c r="A81" s="23"/>
      <c r="B81" s="15"/>
      <c r="C81" s="11"/>
      <c r="D81" s="6" t="s">
        <v>25</v>
      </c>
      <c r="E81" s="52" t="s">
        <v>106</v>
      </c>
      <c r="F81" s="41">
        <v>60</v>
      </c>
      <c r="G81" s="41">
        <v>0.7</v>
      </c>
      <c r="H81" s="41">
        <v>5.6</v>
      </c>
      <c r="I81" s="41">
        <v>2.4</v>
      </c>
      <c r="J81" s="41">
        <v>97.1</v>
      </c>
      <c r="K81" s="51" t="s">
        <v>107</v>
      </c>
      <c r="L81" s="41">
        <v>24.97</v>
      </c>
    </row>
    <row r="82" spans="1:12" ht="15" x14ac:dyDescent="0.25">
      <c r="A82" s="23"/>
      <c r="B82" s="15"/>
      <c r="C82" s="11"/>
      <c r="D82" s="6"/>
      <c r="E82" s="40"/>
      <c r="F82" s="41"/>
      <c r="G82" s="41"/>
      <c r="H82" s="41"/>
      <c r="I82" s="41"/>
      <c r="J82" s="41"/>
      <c r="K82" s="42"/>
      <c r="L82" s="41"/>
    </row>
    <row r="83" spans="1:12" ht="15" x14ac:dyDescent="0.25">
      <c r="A83" s="24"/>
      <c r="B83" s="17"/>
      <c r="C83" s="8"/>
      <c r="D83" s="18" t="s">
        <v>32</v>
      </c>
      <c r="E83" s="9"/>
      <c r="F83" s="19">
        <f>SUM(F77:F82)</f>
        <v>598</v>
      </c>
      <c r="G83" s="19">
        <f>SUM(G77:G82)</f>
        <v>21</v>
      </c>
      <c r="H83" s="19">
        <f>SUM(H77:H82)</f>
        <v>19.8</v>
      </c>
      <c r="I83" s="19">
        <f>SUM(I77:I82)</f>
        <v>67.900000000000006</v>
      </c>
      <c r="J83" s="19">
        <f>SUM(J77:J82)</f>
        <v>716.1</v>
      </c>
      <c r="K83" s="25"/>
      <c r="L83" s="19">
        <f>SUM(L77:L82)</f>
        <v>85</v>
      </c>
    </row>
    <row r="84" spans="1:12" ht="15" x14ac:dyDescent="0.25">
      <c r="A84" s="26">
        <f>A77</f>
        <v>1</v>
      </c>
      <c r="B84" s="13">
        <f>B77</f>
        <v>5</v>
      </c>
      <c r="C84" s="10" t="s">
        <v>24</v>
      </c>
      <c r="D84" s="7"/>
      <c r="E84" s="52"/>
      <c r="F84" s="41"/>
      <c r="G84" s="41"/>
      <c r="H84" s="41"/>
      <c r="I84" s="41"/>
      <c r="J84" s="41"/>
      <c r="K84" s="51"/>
      <c r="L84" s="41"/>
    </row>
    <row r="85" spans="1:12" ht="15" x14ac:dyDescent="0.25">
      <c r="A85" s="23"/>
      <c r="B85" s="15"/>
      <c r="C85" s="11"/>
      <c r="D85" s="7" t="s">
        <v>26</v>
      </c>
      <c r="E85" s="52" t="s">
        <v>136</v>
      </c>
      <c r="F85" s="41">
        <v>255</v>
      </c>
      <c r="G85" s="41">
        <v>2.2000000000000002</v>
      </c>
      <c r="H85" s="41">
        <v>6.3</v>
      </c>
      <c r="I85" s="41">
        <v>13.2</v>
      </c>
      <c r="J85" s="41">
        <v>180.8</v>
      </c>
      <c r="K85" s="51" t="s">
        <v>137</v>
      </c>
      <c r="L85" s="41">
        <v>16.28</v>
      </c>
    </row>
    <row r="86" spans="1:12" ht="15" x14ac:dyDescent="0.25">
      <c r="A86" s="23"/>
      <c r="B86" s="15"/>
      <c r="C86" s="11"/>
      <c r="D86" s="7" t="s">
        <v>27</v>
      </c>
      <c r="E86" s="52" t="s">
        <v>81</v>
      </c>
      <c r="F86" s="41">
        <v>90</v>
      </c>
      <c r="G86" s="41">
        <v>12.8</v>
      </c>
      <c r="H86" s="41">
        <v>12.7</v>
      </c>
      <c r="I86" s="41">
        <v>6.2</v>
      </c>
      <c r="J86" s="41">
        <v>208.4</v>
      </c>
      <c r="K86" s="51" t="s">
        <v>82</v>
      </c>
      <c r="L86" s="41">
        <v>40.26</v>
      </c>
    </row>
    <row r="87" spans="1:12" ht="15" x14ac:dyDescent="0.25">
      <c r="A87" s="23"/>
      <c r="B87" s="15"/>
      <c r="C87" s="11"/>
      <c r="D87" s="7" t="s">
        <v>28</v>
      </c>
      <c r="E87" s="52" t="s">
        <v>138</v>
      </c>
      <c r="F87" s="41">
        <v>150</v>
      </c>
      <c r="G87" s="41">
        <v>4.7</v>
      </c>
      <c r="H87" s="41">
        <v>4.4000000000000004</v>
      </c>
      <c r="I87" s="41">
        <v>31.3</v>
      </c>
      <c r="J87" s="41">
        <v>187.1</v>
      </c>
      <c r="K87" s="51">
        <v>256</v>
      </c>
      <c r="L87" s="41">
        <v>8.85</v>
      </c>
    </row>
    <row r="88" spans="1:12" ht="15" x14ac:dyDescent="0.25">
      <c r="A88" s="23"/>
      <c r="B88" s="15"/>
      <c r="C88" s="11"/>
      <c r="D88" s="7" t="s">
        <v>29</v>
      </c>
      <c r="E88" s="52" t="s">
        <v>78</v>
      </c>
      <c r="F88" s="41">
        <v>205</v>
      </c>
      <c r="G88" s="41">
        <v>0.1</v>
      </c>
      <c r="H88" s="41">
        <v>0</v>
      </c>
      <c r="I88" s="41">
        <v>4.5999999999999996</v>
      </c>
      <c r="J88" s="41">
        <v>17.100000000000001</v>
      </c>
      <c r="K88" s="51" t="s">
        <v>42</v>
      </c>
      <c r="L88" s="41">
        <v>2</v>
      </c>
    </row>
    <row r="89" spans="1:12" ht="15" x14ac:dyDescent="0.25">
      <c r="A89" s="23"/>
      <c r="B89" s="15"/>
      <c r="C89" s="11"/>
      <c r="D89" s="7" t="s">
        <v>30</v>
      </c>
      <c r="E89" s="40" t="s">
        <v>43</v>
      </c>
      <c r="F89" s="41">
        <v>38</v>
      </c>
      <c r="G89" s="41">
        <v>3</v>
      </c>
      <c r="H89" s="41">
        <v>0.4</v>
      </c>
      <c r="I89" s="41">
        <v>19</v>
      </c>
      <c r="J89" s="41">
        <v>91.6</v>
      </c>
      <c r="K89" s="51" t="s">
        <v>45</v>
      </c>
      <c r="L89" s="41">
        <v>3.61</v>
      </c>
    </row>
    <row r="90" spans="1:12" ht="15" x14ac:dyDescent="0.25">
      <c r="A90" s="23"/>
      <c r="B90" s="15"/>
      <c r="C90" s="11"/>
      <c r="D90" s="7" t="s">
        <v>31</v>
      </c>
      <c r="E90" s="40" t="s">
        <v>97</v>
      </c>
      <c r="F90" s="41">
        <v>38</v>
      </c>
      <c r="G90" s="41">
        <v>3.1</v>
      </c>
      <c r="H90" s="41">
        <v>0.3</v>
      </c>
      <c r="I90" s="41">
        <v>19.5</v>
      </c>
      <c r="J90" s="41">
        <v>94.3</v>
      </c>
      <c r="K90" s="51" t="s">
        <v>98</v>
      </c>
      <c r="L90" s="41">
        <v>3.61</v>
      </c>
    </row>
    <row r="91" spans="1:12" ht="15" x14ac:dyDescent="0.25">
      <c r="A91" s="23"/>
      <c r="B91" s="15"/>
      <c r="C91" s="11"/>
      <c r="D91" s="75" t="s">
        <v>101</v>
      </c>
      <c r="E91" s="52" t="s">
        <v>56</v>
      </c>
      <c r="F91" s="41">
        <v>30</v>
      </c>
      <c r="G91" s="41">
        <v>0.3</v>
      </c>
      <c r="H91" s="41">
        <v>0.6</v>
      </c>
      <c r="I91" s="41">
        <v>2.1</v>
      </c>
      <c r="J91" s="41">
        <v>13.8</v>
      </c>
      <c r="K91" s="51" t="s">
        <v>57</v>
      </c>
      <c r="L91" s="41">
        <v>3.61</v>
      </c>
    </row>
    <row r="92" spans="1:12" ht="15" x14ac:dyDescent="0.25">
      <c r="A92" s="24"/>
      <c r="B92" s="17"/>
      <c r="C92" s="8"/>
      <c r="D92" s="18" t="s">
        <v>32</v>
      </c>
      <c r="E92" s="9"/>
      <c r="F92" s="19">
        <f>SUM(F84:F91)</f>
        <v>806</v>
      </c>
      <c r="G92" s="19">
        <f>SUM(G84:G91)</f>
        <v>26.200000000000003</v>
      </c>
      <c r="H92" s="19">
        <f>SUM(H84:H91)</f>
        <v>24.7</v>
      </c>
      <c r="I92" s="19">
        <f>SUM(I84:I91)</f>
        <v>95.9</v>
      </c>
      <c r="J92" s="19">
        <f>SUM(J84:J91)</f>
        <v>793.1</v>
      </c>
      <c r="K92" s="25"/>
      <c r="L92" s="19">
        <f>SUM(L84:L91)</f>
        <v>78.22</v>
      </c>
    </row>
    <row r="93" spans="1:12" ht="15.75" customHeight="1" x14ac:dyDescent="0.2">
      <c r="A93" s="29">
        <f>A77</f>
        <v>1</v>
      </c>
      <c r="B93" s="30">
        <f>B77</f>
        <v>5</v>
      </c>
      <c r="C93" s="78" t="s">
        <v>4</v>
      </c>
      <c r="D93" s="79"/>
      <c r="E93" s="31"/>
      <c r="F93" s="32">
        <f>F83+F92</f>
        <v>1404</v>
      </c>
      <c r="G93" s="32">
        <f>G83+G92</f>
        <v>47.2</v>
      </c>
      <c r="H93" s="32">
        <f>H83+H92</f>
        <v>44.5</v>
      </c>
      <c r="I93" s="32">
        <f>I83+I92</f>
        <v>163.80000000000001</v>
      </c>
      <c r="J93" s="32">
        <f>J83+J92</f>
        <v>1509.2</v>
      </c>
      <c r="K93" s="32"/>
      <c r="L93" s="32">
        <f>L83+L92</f>
        <v>163.22</v>
      </c>
    </row>
    <row r="94" spans="1:12" ht="15" x14ac:dyDescent="0.25">
      <c r="A94" s="20">
        <v>2</v>
      </c>
      <c r="B94" s="21">
        <v>1</v>
      </c>
      <c r="C94" s="22" t="s">
        <v>19</v>
      </c>
      <c r="D94" s="5" t="s">
        <v>20</v>
      </c>
      <c r="E94" s="57" t="s">
        <v>139</v>
      </c>
      <c r="F94" s="39">
        <v>205</v>
      </c>
      <c r="G94" s="39">
        <v>6.9</v>
      </c>
      <c r="H94" s="39">
        <v>11.1</v>
      </c>
      <c r="I94" s="39">
        <v>36.200000000000003</v>
      </c>
      <c r="J94" s="39">
        <v>299.3</v>
      </c>
      <c r="K94" s="58" t="s">
        <v>41</v>
      </c>
      <c r="L94" s="39">
        <v>21.22</v>
      </c>
    </row>
    <row r="95" spans="1:12" ht="15" x14ac:dyDescent="0.25">
      <c r="A95" s="23"/>
      <c r="B95" s="15"/>
      <c r="C95" s="11"/>
      <c r="D95" s="7" t="s">
        <v>29</v>
      </c>
      <c r="E95" s="52" t="s">
        <v>46</v>
      </c>
      <c r="F95" s="41">
        <v>200</v>
      </c>
      <c r="G95" s="41">
        <v>0.8</v>
      </c>
      <c r="H95" s="41">
        <v>0</v>
      </c>
      <c r="I95" s="41">
        <v>20.6</v>
      </c>
      <c r="J95" s="41">
        <v>84</v>
      </c>
      <c r="K95" s="51" t="s">
        <v>47</v>
      </c>
      <c r="L95" s="41">
        <v>2</v>
      </c>
    </row>
    <row r="96" spans="1:12" ht="15" x14ac:dyDescent="0.25">
      <c r="A96" s="23"/>
      <c r="B96" s="15"/>
      <c r="C96" s="11"/>
      <c r="D96" s="7" t="s">
        <v>22</v>
      </c>
      <c r="E96" s="40" t="s">
        <v>43</v>
      </c>
      <c r="F96" s="41">
        <v>38</v>
      </c>
      <c r="G96" s="65">
        <v>3</v>
      </c>
      <c r="H96" s="41">
        <v>0.4</v>
      </c>
      <c r="I96" s="65">
        <v>19</v>
      </c>
      <c r="J96" s="41">
        <v>91.6</v>
      </c>
      <c r="K96" s="51" t="s">
        <v>45</v>
      </c>
      <c r="L96" s="41">
        <v>1.8</v>
      </c>
    </row>
    <row r="97" spans="1:12" ht="15" x14ac:dyDescent="0.25">
      <c r="A97" s="23"/>
      <c r="B97" s="15"/>
      <c r="C97" s="11"/>
      <c r="D97" s="7" t="s">
        <v>21</v>
      </c>
      <c r="E97" s="40" t="s">
        <v>63</v>
      </c>
      <c r="F97" s="41">
        <v>200</v>
      </c>
      <c r="G97" s="41">
        <v>0</v>
      </c>
      <c r="H97" s="41">
        <v>0</v>
      </c>
      <c r="I97" s="41">
        <v>24</v>
      </c>
      <c r="J97" s="41">
        <v>95</v>
      </c>
      <c r="K97" s="42" t="s">
        <v>64</v>
      </c>
      <c r="L97" s="41">
        <v>1.8</v>
      </c>
    </row>
    <row r="98" spans="1:12" ht="15" x14ac:dyDescent="0.25">
      <c r="A98" s="23"/>
      <c r="B98" s="15"/>
      <c r="C98" s="11"/>
      <c r="D98" s="6" t="s">
        <v>25</v>
      </c>
      <c r="E98" s="50" t="s">
        <v>90</v>
      </c>
      <c r="F98" s="41">
        <v>60</v>
      </c>
      <c r="G98" s="41">
        <v>4.9000000000000004</v>
      </c>
      <c r="H98" s="41">
        <v>9.6</v>
      </c>
      <c r="I98" s="41">
        <v>17.5</v>
      </c>
      <c r="J98" s="41">
        <v>175.9</v>
      </c>
      <c r="K98" s="55" t="s">
        <v>91</v>
      </c>
      <c r="L98" s="41">
        <v>21.7</v>
      </c>
    </row>
    <row r="99" spans="1:12" ht="15" x14ac:dyDescent="0.25">
      <c r="A99" s="23"/>
      <c r="B99" s="15"/>
      <c r="C99" s="11"/>
      <c r="D99" s="6"/>
      <c r="E99" s="52"/>
      <c r="F99" s="41"/>
      <c r="G99" s="41"/>
      <c r="H99" s="41"/>
      <c r="I99" s="41"/>
      <c r="J99" s="41"/>
      <c r="K99" s="51"/>
      <c r="L99" s="41"/>
    </row>
    <row r="100" spans="1:12" ht="15" x14ac:dyDescent="0.25">
      <c r="A100" s="24"/>
      <c r="B100" s="17"/>
      <c r="C100" s="8"/>
      <c r="D100" s="18" t="s">
        <v>32</v>
      </c>
      <c r="E100" s="9"/>
      <c r="F100" s="19">
        <f>SUM(F94:F99)</f>
        <v>703</v>
      </c>
      <c r="G100" s="19">
        <f>SUM(G94:G99)</f>
        <v>15.6</v>
      </c>
      <c r="H100" s="19">
        <f>SUM(H94:H99)</f>
        <v>21.1</v>
      </c>
      <c r="I100" s="19">
        <f>SUM(I94:I99)</f>
        <v>117.30000000000001</v>
      </c>
      <c r="J100" s="19">
        <f>SUM(J94:J99)</f>
        <v>745.8</v>
      </c>
      <c r="K100" s="25"/>
      <c r="L100" s="19">
        <f>SUM(L94:L99)</f>
        <v>48.519999999999996</v>
      </c>
    </row>
    <row r="101" spans="1:12" ht="15" x14ac:dyDescent="0.25">
      <c r="A101" s="26">
        <f>A94</f>
        <v>2</v>
      </c>
      <c r="B101" s="13">
        <f>B94</f>
        <v>1</v>
      </c>
      <c r="C101" s="10" t="s">
        <v>24</v>
      </c>
      <c r="D101" s="7"/>
      <c r="E101" s="40"/>
      <c r="F101" s="41"/>
      <c r="G101" s="41"/>
      <c r="H101" s="41"/>
      <c r="I101" s="41"/>
      <c r="J101" s="41"/>
      <c r="K101" s="42"/>
      <c r="L101" s="41"/>
    </row>
    <row r="102" spans="1:12" ht="15.75" thickBot="1" x14ac:dyDescent="0.3">
      <c r="A102" s="23"/>
      <c r="B102" s="15"/>
      <c r="C102" s="11"/>
      <c r="D102" s="7" t="s">
        <v>26</v>
      </c>
      <c r="E102" s="52" t="s">
        <v>109</v>
      </c>
      <c r="F102" s="41">
        <v>255</v>
      </c>
      <c r="G102" s="41">
        <v>2.5</v>
      </c>
      <c r="H102" s="41">
        <v>6.5</v>
      </c>
      <c r="I102" s="41">
        <v>15.8</v>
      </c>
      <c r="J102" s="41">
        <v>240.2</v>
      </c>
      <c r="K102" s="51" t="s">
        <v>75</v>
      </c>
      <c r="L102" s="41">
        <v>6.19</v>
      </c>
    </row>
    <row r="103" spans="1:12" ht="15" x14ac:dyDescent="0.25">
      <c r="A103" s="23"/>
      <c r="B103" s="15"/>
      <c r="C103" s="11"/>
      <c r="D103" s="7" t="s">
        <v>27</v>
      </c>
      <c r="E103" s="57" t="s">
        <v>140</v>
      </c>
      <c r="F103" s="39">
        <v>240</v>
      </c>
      <c r="G103" s="39">
        <v>15.4</v>
      </c>
      <c r="H103" s="39">
        <v>18.2</v>
      </c>
      <c r="I103" s="39">
        <v>22.8</v>
      </c>
      <c r="J103" s="39">
        <v>287.2</v>
      </c>
      <c r="K103" s="58" t="s">
        <v>50</v>
      </c>
      <c r="L103" s="41">
        <v>46.21</v>
      </c>
    </row>
    <row r="104" spans="1:12" ht="15" x14ac:dyDescent="0.25">
      <c r="A104" s="23"/>
      <c r="B104" s="15"/>
      <c r="C104" s="11"/>
      <c r="D104" s="7" t="s">
        <v>29</v>
      </c>
      <c r="E104" s="52" t="s">
        <v>102</v>
      </c>
      <c r="F104" s="41">
        <v>205</v>
      </c>
      <c r="G104" s="41">
        <v>0.1</v>
      </c>
      <c r="H104" s="41">
        <v>0</v>
      </c>
      <c r="I104" s="41">
        <v>4.5999999999999996</v>
      </c>
      <c r="J104" s="41">
        <v>17.100000000000001</v>
      </c>
      <c r="K104" s="51" t="s">
        <v>123</v>
      </c>
      <c r="L104" s="41">
        <v>8.7200000000000006</v>
      </c>
    </row>
    <row r="105" spans="1:12" ht="15" x14ac:dyDescent="0.25">
      <c r="A105" s="23"/>
      <c r="B105" s="15"/>
      <c r="C105" s="11"/>
      <c r="D105" s="7" t="s">
        <v>30</v>
      </c>
      <c r="E105" s="40" t="s">
        <v>43</v>
      </c>
      <c r="F105" s="41">
        <v>38</v>
      </c>
      <c r="G105" s="41">
        <v>3</v>
      </c>
      <c r="H105" s="41">
        <v>0.4</v>
      </c>
      <c r="I105" s="41">
        <v>19</v>
      </c>
      <c r="J105" s="41">
        <v>91.6</v>
      </c>
      <c r="K105" s="51" t="s">
        <v>45</v>
      </c>
      <c r="L105" s="41">
        <v>3.61</v>
      </c>
    </row>
    <row r="106" spans="1:12" ht="15" x14ac:dyDescent="0.25">
      <c r="A106" s="23"/>
      <c r="B106" s="15"/>
      <c r="C106" s="11"/>
      <c r="D106" s="7" t="s">
        <v>31</v>
      </c>
      <c r="E106" s="40" t="s">
        <v>97</v>
      </c>
      <c r="F106" s="41">
        <v>38</v>
      </c>
      <c r="G106" s="41">
        <v>3.1</v>
      </c>
      <c r="H106" s="41">
        <v>0.3</v>
      </c>
      <c r="I106" s="41">
        <v>19.5</v>
      </c>
      <c r="J106" s="41">
        <v>94.3</v>
      </c>
      <c r="K106" s="51" t="s">
        <v>98</v>
      </c>
      <c r="L106" s="41">
        <v>8.7200000000000006</v>
      </c>
    </row>
    <row r="107" spans="1:12" ht="15" x14ac:dyDescent="0.25">
      <c r="A107" s="23"/>
      <c r="B107" s="15"/>
      <c r="C107" s="11"/>
      <c r="D107" s="6"/>
      <c r="E107" s="40"/>
      <c r="F107" s="41"/>
      <c r="G107" s="41"/>
      <c r="H107" s="41"/>
      <c r="I107" s="41"/>
      <c r="J107" s="41"/>
      <c r="K107" s="42"/>
      <c r="L107" s="41"/>
    </row>
    <row r="108" spans="1:12" ht="15" x14ac:dyDescent="0.25">
      <c r="A108" s="24"/>
      <c r="B108" s="17"/>
      <c r="C108" s="8"/>
      <c r="D108" s="18" t="s">
        <v>32</v>
      </c>
      <c r="E108" s="9"/>
      <c r="F108" s="19">
        <f>SUM(F101:F107)</f>
        <v>776</v>
      </c>
      <c r="G108" s="19">
        <f>SUM(G101:G107)</f>
        <v>24.1</v>
      </c>
      <c r="H108" s="19">
        <f>SUM(H101:H107)</f>
        <v>25.4</v>
      </c>
      <c r="I108" s="19">
        <f>SUM(I101:I107)</f>
        <v>81.7</v>
      </c>
      <c r="J108" s="19">
        <f>SUM(J101:J107)</f>
        <v>730.4</v>
      </c>
      <c r="K108" s="25"/>
      <c r="L108" s="19">
        <f>SUM(L101:L107)</f>
        <v>73.45</v>
      </c>
    </row>
    <row r="109" spans="1:12" ht="15.75" thickBot="1" x14ac:dyDescent="0.25">
      <c r="A109" s="29">
        <f>A94</f>
        <v>2</v>
      </c>
      <c r="B109" s="30">
        <f>B94</f>
        <v>1</v>
      </c>
      <c r="C109" s="78" t="s">
        <v>4</v>
      </c>
      <c r="D109" s="79"/>
      <c r="E109" s="31"/>
      <c r="F109" s="32">
        <f>F100+F108</f>
        <v>1479</v>
      </c>
      <c r="G109" s="32">
        <f>G100+G108</f>
        <v>39.700000000000003</v>
      </c>
      <c r="H109" s="32">
        <f>H100+H108</f>
        <v>46.5</v>
      </c>
      <c r="I109" s="32">
        <f>I100+I108</f>
        <v>199</v>
      </c>
      <c r="J109" s="32">
        <f>J100+J108</f>
        <v>1476.1999999999998</v>
      </c>
      <c r="K109" s="32"/>
      <c r="L109" s="32">
        <f>L100+L108</f>
        <v>121.97</v>
      </c>
    </row>
    <row r="110" spans="1:12" ht="15.75" thickBot="1" x14ac:dyDescent="0.3">
      <c r="A110" s="14">
        <v>2</v>
      </c>
      <c r="B110" s="15">
        <v>2</v>
      </c>
      <c r="C110" s="22" t="s">
        <v>19</v>
      </c>
      <c r="D110" s="5" t="s">
        <v>20</v>
      </c>
      <c r="E110" s="52" t="s">
        <v>103</v>
      </c>
      <c r="F110" s="41">
        <v>150</v>
      </c>
      <c r="G110" s="41">
        <v>3.5</v>
      </c>
      <c r="H110" s="41">
        <v>3.4</v>
      </c>
      <c r="I110" s="41">
        <v>34.200000000000003</v>
      </c>
      <c r="J110" s="41">
        <v>191.5</v>
      </c>
      <c r="K110" s="51" t="s">
        <v>54</v>
      </c>
      <c r="L110" s="41">
        <v>14.61</v>
      </c>
    </row>
    <row r="111" spans="1:12" ht="15" x14ac:dyDescent="0.25">
      <c r="A111" s="14"/>
      <c r="B111" s="15"/>
      <c r="C111" s="11"/>
      <c r="D111" s="6" t="s">
        <v>99</v>
      </c>
      <c r="E111" s="57" t="s">
        <v>141</v>
      </c>
      <c r="F111" s="39">
        <v>90</v>
      </c>
      <c r="G111" s="39">
        <v>15.6</v>
      </c>
      <c r="H111" s="39">
        <v>19.600000000000001</v>
      </c>
      <c r="I111" s="39">
        <v>2.5</v>
      </c>
      <c r="J111" s="39">
        <v>237.5</v>
      </c>
      <c r="K111" s="58" t="s">
        <v>94</v>
      </c>
      <c r="L111" s="39">
        <v>52.8</v>
      </c>
    </row>
    <row r="112" spans="1:12" ht="15" x14ac:dyDescent="0.25">
      <c r="A112" s="14"/>
      <c r="B112" s="15"/>
      <c r="C112" s="11"/>
      <c r="D112" s="7" t="s">
        <v>21</v>
      </c>
      <c r="E112" s="76" t="s">
        <v>49</v>
      </c>
      <c r="F112" s="56">
        <v>200</v>
      </c>
      <c r="G112" s="64">
        <v>2.2000000000000002</v>
      </c>
      <c r="H112" s="56">
        <v>0</v>
      </c>
      <c r="I112" s="64">
        <v>44.6</v>
      </c>
      <c r="J112" s="56">
        <v>68</v>
      </c>
      <c r="K112" s="77" t="s">
        <v>142</v>
      </c>
      <c r="L112" s="60">
        <v>4.66</v>
      </c>
    </row>
    <row r="113" spans="1:12" ht="15" x14ac:dyDescent="0.25">
      <c r="A113" s="14"/>
      <c r="B113" s="15"/>
      <c r="C113" s="11"/>
      <c r="D113" s="7" t="s">
        <v>22</v>
      </c>
      <c r="E113" s="40" t="s">
        <v>43</v>
      </c>
      <c r="F113" s="41">
        <v>38</v>
      </c>
      <c r="G113" s="65">
        <v>3</v>
      </c>
      <c r="H113" s="41">
        <v>0.4</v>
      </c>
      <c r="I113" s="65">
        <v>19</v>
      </c>
      <c r="J113" s="41">
        <v>91.6</v>
      </c>
      <c r="K113" s="51" t="s">
        <v>45</v>
      </c>
      <c r="L113" s="41">
        <v>1.8</v>
      </c>
    </row>
    <row r="114" spans="1:12" ht="15" x14ac:dyDescent="0.25">
      <c r="A114" s="14"/>
      <c r="B114" s="15"/>
      <c r="C114" s="11"/>
      <c r="D114" s="6" t="s">
        <v>25</v>
      </c>
      <c r="E114" s="52" t="s">
        <v>110</v>
      </c>
      <c r="F114" s="41">
        <v>60</v>
      </c>
      <c r="G114" s="41">
        <v>0.6</v>
      </c>
      <c r="H114" s="41">
        <v>5.6</v>
      </c>
      <c r="I114" s="41">
        <v>3</v>
      </c>
      <c r="J114" s="41">
        <v>190.7</v>
      </c>
      <c r="K114" s="51" t="s">
        <v>111</v>
      </c>
      <c r="L114" s="41">
        <v>10.31</v>
      </c>
    </row>
    <row r="115" spans="1:12" ht="15" x14ac:dyDescent="0.25">
      <c r="A115" s="14"/>
      <c r="B115" s="15"/>
      <c r="C115" s="11"/>
      <c r="D115" s="75" t="s">
        <v>101</v>
      </c>
      <c r="E115" s="52" t="s">
        <v>56</v>
      </c>
      <c r="F115" s="41">
        <v>30</v>
      </c>
      <c r="G115" s="41">
        <v>0.3</v>
      </c>
      <c r="H115" s="41">
        <v>0.6</v>
      </c>
      <c r="I115" s="41">
        <v>2.1</v>
      </c>
      <c r="J115" s="41">
        <v>13.8</v>
      </c>
      <c r="K115" s="51" t="s">
        <v>57</v>
      </c>
      <c r="L115" s="41">
        <v>3.61</v>
      </c>
    </row>
    <row r="116" spans="1:12" ht="15" x14ac:dyDescent="0.25">
      <c r="A116" s="16"/>
      <c r="B116" s="17"/>
      <c r="C116" s="8"/>
      <c r="D116" s="18" t="s">
        <v>32</v>
      </c>
      <c r="E116" s="9"/>
      <c r="F116" s="19">
        <f>SUM(F110:F115)</f>
        <v>568</v>
      </c>
      <c r="G116" s="19">
        <f>SUM(G110:G115)</f>
        <v>25.200000000000003</v>
      </c>
      <c r="H116" s="19">
        <f>SUM(H110:H115)</f>
        <v>29.6</v>
      </c>
      <c r="I116" s="19">
        <f>SUM(I110:I115)</f>
        <v>105.4</v>
      </c>
      <c r="J116" s="19">
        <f>SUM(J110:J115)</f>
        <v>793.09999999999991</v>
      </c>
      <c r="K116" s="25"/>
      <c r="L116" s="19">
        <f>SUM(L110:L115)</f>
        <v>87.789999999999992</v>
      </c>
    </row>
    <row r="117" spans="1:12" ht="15" x14ac:dyDescent="0.25">
      <c r="A117" s="13">
        <f>A110</f>
        <v>2</v>
      </c>
      <c r="B117" s="13">
        <f>B110</f>
        <v>2</v>
      </c>
      <c r="C117" s="10" t="s">
        <v>24</v>
      </c>
      <c r="D117" s="7"/>
      <c r="E117" s="40"/>
      <c r="F117" s="41"/>
      <c r="G117" s="41"/>
      <c r="H117" s="41"/>
      <c r="I117" s="41"/>
      <c r="J117" s="41"/>
      <c r="K117" s="42"/>
      <c r="L117" s="41"/>
    </row>
    <row r="118" spans="1:12" ht="15" x14ac:dyDescent="0.25">
      <c r="A118" s="14"/>
      <c r="B118" s="15"/>
      <c r="C118" s="11"/>
      <c r="D118" s="7" t="s">
        <v>26</v>
      </c>
      <c r="E118" s="52" t="s">
        <v>65</v>
      </c>
      <c r="F118" s="41">
        <v>250</v>
      </c>
      <c r="G118" s="41">
        <v>5.7</v>
      </c>
      <c r="H118" s="41">
        <v>5.2</v>
      </c>
      <c r="I118" s="41">
        <v>18.3</v>
      </c>
      <c r="J118" s="41">
        <v>140.30000000000001</v>
      </c>
      <c r="K118" s="51" t="s">
        <v>66</v>
      </c>
      <c r="L118" s="41">
        <v>10.38</v>
      </c>
    </row>
    <row r="119" spans="1:12" ht="25.5" x14ac:dyDescent="0.25">
      <c r="A119" s="14"/>
      <c r="B119" s="15"/>
      <c r="C119" s="11"/>
      <c r="D119" s="7" t="s">
        <v>27</v>
      </c>
      <c r="E119" s="52" t="s">
        <v>92</v>
      </c>
      <c r="F119" s="41">
        <v>120</v>
      </c>
      <c r="G119" s="41">
        <v>12.6</v>
      </c>
      <c r="H119" s="41">
        <v>4.5</v>
      </c>
      <c r="I119" s="41">
        <v>3.9</v>
      </c>
      <c r="J119" s="41">
        <v>306</v>
      </c>
      <c r="K119" s="51" t="s">
        <v>93</v>
      </c>
      <c r="L119" s="41">
        <v>46.16</v>
      </c>
    </row>
    <row r="120" spans="1:12" ht="15" x14ac:dyDescent="0.25">
      <c r="A120" s="14"/>
      <c r="B120" s="15"/>
      <c r="C120" s="11"/>
      <c r="D120" s="7" t="s">
        <v>28</v>
      </c>
      <c r="E120" s="52" t="s">
        <v>60</v>
      </c>
      <c r="F120" s="41">
        <v>150</v>
      </c>
      <c r="G120" s="41">
        <v>8.5</v>
      </c>
      <c r="H120" s="41">
        <v>5.0999999999999996</v>
      </c>
      <c r="I120" s="41">
        <v>40.200000000000003</v>
      </c>
      <c r="J120" s="41">
        <v>249.6</v>
      </c>
      <c r="K120" s="51" t="s">
        <v>61</v>
      </c>
      <c r="L120" s="41">
        <v>8.85</v>
      </c>
    </row>
    <row r="121" spans="1:12" ht="15" x14ac:dyDescent="0.25">
      <c r="A121" s="14"/>
      <c r="B121" s="15"/>
      <c r="C121" s="11"/>
      <c r="D121" s="7" t="s">
        <v>29</v>
      </c>
      <c r="E121" s="52" t="s">
        <v>102</v>
      </c>
      <c r="F121" s="41">
        <v>205</v>
      </c>
      <c r="G121" s="41">
        <v>0.1</v>
      </c>
      <c r="H121" s="41">
        <v>0</v>
      </c>
      <c r="I121" s="41">
        <v>4.5999999999999996</v>
      </c>
      <c r="J121" s="41">
        <v>17.100000000000001</v>
      </c>
      <c r="K121" s="51" t="s">
        <v>42</v>
      </c>
      <c r="L121" s="41">
        <v>2</v>
      </c>
    </row>
    <row r="122" spans="1:12" ht="15" x14ac:dyDescent="0.25">
      <c r="A122" s="14"/>
      <c r="B122" s="15"/>
      <c r="C122" s="11"/>
      <c r="D122" s="7" t="s">
        <v>30</v>
      </c>
      <c r="E122" s="40" t="s">
        <v>43</v>
      </c>
      <c r="F122" s="41">
        <v>38</v>
      </c>
      <c r="G122" s="41">
        <v>3</v>
      </c>
      <c r="H122" s="41">
        <v>0.4</v>
      </c>
      <c r="I122" s="41">
        <v>19</v>
      </c>
      <c r="J122" s="41">
        <v>91.6</v>
      </c>
      <c r="K122" s="51" t="s">
        <v>45</v>
      </c>
      <c r="L122" s="41">
        <v>3.61</v>
      </c>
    </row>
    <row r="123" spans="1:12" ht="15" x14ac:dyDescent="0.25">
      <c r="A123" s="14"/>
      <c r="B123" s="15"/>
      <c r="C123" s="11"/>
      <c r="D123" s="7" t="s">
        <v>31</v>
      </c>
      <c r="E123" s="40" t="s">
        <v>97</v>
      </c>
      <c r="F123" s="51">
        <v>38</v>
      </c>
      <c r="G123" s="41">
        <v>3.1</v>
      </c>
      <c r="H123" s="41">
        <v>0.3</v>
      </c>
      <c r="I123" s="41">
        <v>19.5</v>
      </c>
      <c r="J123" s="41">
        <v>94.3</v>
      </c>
      <c r="K123" s="51" t="s">
        <v>98</v>
      </c>
      <c r="L123" s="41">
        <v>3.61</v>
      </c>
    </row>
    <row r="124" spans="1:12" ht="15" x14ac:dyDescent="0.25">
      <c r="A124" s="14"/>
      <c r="B124" s="15"/>
      <c r="C124" s="11"/>
      <c r="D124" s="6"/>
      <c r="E124" s="40"/>
      <c r="F124" s="41"/>
      <c r="G124" s="41"/>
      <c r="H124" s="41"/>
      <c r="I124" s="41"/>
      <c r="J124" s="41"/>
      <c r="K124" s="42"/>
      <c r="L124" s="41"/>
    </row>
    <row r="125" spans="1:12" ht="15" x14ac:dyDescent="0.25">
      <c r="A125" s="16"/>
      <c r="B125" s="17"/>
      <c r="C125" s="8"/>
      <c r="D125" s="18" t="s">
        <v>32</v>
      </c>
      <c r="E125" s="9"/>
      <c r="F125" s="19">
        <f>SUM(F117:F124)</f>
        <v>801</v>
      </c>
      <c r="G125" s="19">
        <f>SUM(G117:G124)</f>
        <v>33</v>
      </c>
      <c r="H125" s="19">
        <f>SUM(H117:H124)</f>
        <v>15.5</v>
      </c>
      <c r="I125" s="19">
        <f>SUM(I117:I124)</f>
        <v>105.5</v>
      </c>
      <c r="J125" s="19">
        <f>SUM(J117:J124)</f>
        <v>898.9</v>
      </c>
      <c r="K125" s="25"/>
      <c r="L125" s="19">
        <f>SUM(L117:L124)</f>
        <v>74.61</v>
      </c>
    </row>
    <row r="126" spans="1:12" ht="15.75" thickBot="1" x14ac:dyDescent="0.25">
      <c r="A126" s="33">
        <f>A110</f>
        <v>2</v>
      </c>
      <c r="B126" s="33">
        <f>B110</f>
        <v>2</v>
      </c>
      <c r="C126" s="78" t="s">
        <v>4</v>
      </c>
      <c r="D126" s="79"/>
      <c r="E126" s="31"/>
      <c r="F126" s="32">
        <f>F116+F125</f>
        <v>1369</v>
      </c>
      <c r="G126" s="32">
        <f>G116+G125</f>
        <v>58.2</v>
      </c>
      <c r="H126" s="32">
        <f>H116+H125</f>
        <v>45.1</v>
      </c>
      <c r="I126" s="32">
        <f>I116+I125</f>
        <v>210.9</v>
      </c>
      <c r="J126" s="32">
        <f>J116+J125</f>
        <v>1692</v>
      </c>
      <c r="K126" s="32"/>
      <c r="L126" s="32">
        <f>L116+L125</f>
        <v>162.39999999999998</v>
      </c>
    </row>
    <row r="127" spans="1:12" ht="15" x14ac:dyDescent="0.25">
      <c r="A127" s="20">
        <v>2</v>
      </c>
      <c r="B127" s="21">
        <v>3</v>
      </c>
      <c r="C127" s="22" t="s">
        <v>19</v>
      </c>
      <c r="D127" s="5" t="s">
        <v>20</v>
      </c>
      <c r="E127" s="52" t="s">
        <v>143</v>
      </c>
      <c r="F127" s="41">
        <v>210</v>
      </c>
      <c r="G127" s="41">
        <v>7.9</v>
      </c>
      <c r="H127" s="41">
        <v>10.7</v>
      </c>
      <c r="I127" s="41">
        <v>32.1</v>
      </c>
      <c r="J127" s="41">
        <v>273.3</v>
      </c>
      <c r="K127" s="42" t="s">
        <v>61</v>
      </c>
      <c r="L127" s="41">
        <v>10.38</v>
      </c>
    </row>
    <row r="128" spans="1:12" ht="15" x14ac:dyDescent="0.25">
      <c r="A128" s="23"/>
      <c r="B128" s="15"/>
      <c r="C128" s="11"/>
      <c r="D128" s="6"/>
      <c r="E128" s="40"/>
      <c r="F128" s="41"/>
      <c r="G128" s="41"/>
      <c r="H128" s="41"/>
      <c r="I128" s="41"/>
      <c r="J128" s="41"/>
      <c r="K128" s="74"/>
      <c r="L128" s="41"/>
    </row>
    <row r="129" spans="1:12" ht="15" x14ac:dyDescent="0.25">
      <c r="A129" s="23"/>
      <c r="B129" s="15"/>
      <c r="C129" s="11"/>
      <c r="D129" s="7" t="s">
        <v>21</v>
      </c>
      <c r="E129" s="52" t="s">
        <v>117</v>
      </c>
      <c r="F129" s="41">
        <v>200</v>
      </c>
      <c r="G129" s="41">
        <v>3.1</v>
      </c>
      <c r="H129" s="41">
        <v>2.4</v>
      </c>
      <c r="I129" s="41">
        <v>11.8</v>
      </c>
      <c r="J129" s="41">
        <v>80.8</v>
      </c>
      <c r="K129" s="51" t="s">
        <v>55</v>
      </c>
      <c r="L129" s="41">
        <v>8.7200000000000006</v>
      </c>
    </row>
    <row r="130" spans="1:12" ht="15.75" customHeight="1" thickBot="1" x14ac:dyDescent="0.3">
      <c r="A130" s="23"/>
      <c r="B130" s="15"/>
      <c r="C130" s="11"/>
      <c r="D130" s="7" t="s">
        <v>22</v>
      </c>
      <c r="E130" s="40" t="s">
        <v>43</v>
      </c>
      <c r="F130" s="41">
        <v>38</v>
      </c>
      <c r="G130" s="41">
        <v>3</v>
      </c>
      <c r="H130" s="41">
        <v>0.4</v>
      </c>
      <c r="I130" s="41">
        <v>19</v>
      </c>
      <c r="J130" s="41">
        <v>91.6</v>
      </c>
      <c r="K130" s="51" t="s">
        <v>45</v>
      </c>
      <c r="L130" s="41">
        <v>3.61</v>
      </c>
    </row>
    <row r="131" spans="1:12" ht="15" x14ac:dyDescent="0.25">
      <c r="A131" s="23"/>
      <c r="B131" s="15"/>
      <c r="C131" s="11"/>
      <c r="D131" s="7" t="s">
        <v>99</v>
      </c>
      <c r="E131" s="57" t="s">
        <v>144</v>
      </c>
      <c r="F131" s="39">
        <v>60</v>
      </c>
      <c r="G131" s="39">
        <v>6.42</v>
      </c>
      <c r="H131" s="39">
        <v>8.5500000000000007</v>
      </c>
      <c r="I131" s="39">
        <v>41.87</v>
      </c>
      <c r="J131" s="39">
        <v>270.12</v>
      </c>
      <c r="K131" s="58" t="s">
        <v>145</v>
      </c>
      <c r="L131" s="39">
        <v>71.3</v>
      </c>
    </row>
    <row r="132" spans="1:12" ht="15" x14ac:dyDescent="0.25">
      <c r="A132" s="23"/>
      <c r="B132" s="15"/>
      <c r="C132" s="11"/>
      <c r="D132" s="75" t="s">
        <v>25</v>
      </c>
      <c r="E132" s="52" t="s">
        <v>146</v>
      </c>
      <c r="F132" s="41">
        <v>125</v>
      </c>
      <c r="G132" s="41">
        <v>2.9</v>
      </c>
      <c r="H132" s="41">
        <v>2.5</v>
      </c>
      <c r="I132" s="41">
        <v>17</v>
      </c>
      <c r="J132" s="41">
        <v>102</v>
      </c>
      <c r="K132" s="51" t="s">
        <v>47</v>
      </c>
      <c r="L132" s="41">
        <v>1.37</v>
      </c>
    </row>
    <row r="133" spans="1:12" ht="15" x14ac:dyDescent="0.25">
      <c r="A133" s="23"/>
      <c r="B133" s="15"/>
      <c r="C133" s="11"/>
      <c r="D133" s="6"/>
      <c r="E133" s="40"/>
      <c r="F133" s="41"/>
      <c r="G133" s="41"/>
      <c r="H133" s="41"/>
      <c r="I133" s="41"/>
      <c r="J133" s="41"/>
      <c r="K133" s="42"/>
      <c r="L133" s="41"/>
    </row>
    <row r="134" spans="1:12" ht="15" x14ac:dyDescent="0.25">
      <c r="A134" s="24"/>
      <c r="B134" s="17"/>
      <c r="C134" s="8"/>
      <c r="D134" s="18" t="s">
        <v>32</v>
      </c>
      <c r="E134" s="9"/>
      <c r="F134" s="19">
        <f>SUM(F127:F133)</f>
        <v>633</v>
      </c>
      <c r="G134" s="19">
        <f t="shared" ref="G134:J134" si="4">SUM(G127:G133)</f>
        <v>23.32</v>
      </c>
      <c r="H134" s="19">
        <f t="shared" si="4"/>
        <v>24.55</v>
      </c>
      <c r="I134" s="19">
        <f t="shared" si="4"/>
        <v>121.77000000000001</v>
      </c>
      <c r="J134" s="19">
        <f t="shared" si="4"/>
        <v>817.82</v>
      </c>
      <c r="K134" s="25"/>
      <c r="L134" s="19">
        <f t="shared" ref="L134" si="5">SUM(L127:L133)</f>
        <v>95.38</v>
      </c>
    </row>
    <row r="135" spans="1:12" ht="15" x14ac:dyDescent="0.25">
      <c r="A135" s="26">
        <f>A127</f>
        <v>2</v>
      </c>
      <c r="B135" s="13">
        <f>B127</f>
        <v>3</v>
      </c>
      <c r="C135" s="10" t="s">
        <v>24</v>
      </c>
      <c r="D135" s="7"/>
      <c r="E135" s="40"/>
      <c r="F135" s="41"/>
      <c r="G135" s="41"/>
      <c r="H135" s="41"/>
      <c r="I135" s="41"/>
      <c r="J135" s="41"/>
      <c r="K135" s="42"/>
      <c r="L135" s="41"/>
    </row>
    <row r="136" spans="1:12" ht="15" x14ac:dyDescent="0.25">
      <c r="A136" s="23"/>
      <c r="B136" s="15"/>
      <c r="C136" s="11"/>
      <c r="D136" s="7" t="s">
        <v>26</v>
      </c>
      <c r="E136" s="52" t="s">
        <v>113</v>
      </c>
      <c r="F136" s="41">
        <v>255</v>
      </c>
      <c r="G136" s="41">
        <v>2.2999999999999998</v>
      </c>
      <c r="H136" s="41">
        <v>6.2</v>
      </c>
      <c r="I136" s="41">
        <v>12.1</v>
      </c>
      <c r="J136" s="62">
        <v>154.19999999999999</v>
      </c>
      <c r="K136" s="51" t="s">
        <v>58</v>
      </c>
      <c r="L136" s="41">
        <v>6.66</v>
      </c>
    </row>
    <row r="137" spans="1:12" ht="15" x14ac:dyDescent="0.25">
      <c r="A137" s="23"/>
      <c r="B137" s="15"/>
      <c r="C137" s="11"/>
      <c r="D137" s="7" t="s">
        <v>27</v>
      </c>
      <c r="E137" s="52" t="s">
        <v>112</v>
      </c>
      <c r="F137" s="41">
        <v>120</v>
      </c>
      <c r="G137" s="41">
        <v>9.3000000000000007</v>
      </c>
      <c r="H137" s="41">
        <v>7.3</v>
      </c>
      <c r="I137" s="41">
        <v>12.2</v>
      </c>
      <c r="J137" s="41">
        <v>271.10000000000002</v>
      </c>
      <c r="K137" s="51" t="s">
        <v>67</v>
      </c>
      <c r="L137" s="41">
        <v>46.93</v>
      </c>
    </row>
    <row r="138" spans="1:12" ht="15" x14ac:dyDescent="0.25">
      <c r="A138" s="23"/>
      <c r="B138" s="15"/>
      <c r="C138" s="11"/>
      <c r="D138" s="7" t="s">
        <v>28</v>
      </c>
      <c r="E138" s="52" t="s">
        <v>118</v>
      </c>
      <c r="F138" s="41">
        <v>155</v>
      </c>
      <c r="G138" s="41">
        <v>5.2</v>
      </c>
      <c r="H138" s="41">
        <v>3.3</v>
      </c>
      <c r="I138" s="41">
        <v>33.4</v>
      </c>
      <c r="J138" s="41">
        <v>193</v>
      </c>
      <c r="K138" s="51" t="s">
        <v>77</v>
      </c>
      <c r="L138" s="41">
        <v>11.8</v>
      </c>
    </row>
    <row r="139" spans="1:12" ht="15" x14ac:dyDescent="0.25">
      <c r="A139" s="23"/>
      <c r="B139" s="15"/>
      <c r="C139" s="11"/>
      <c r="D139" s="7" t="s">
        <v>29</v>
      </c>
      <c r="E139" s="52" t="s">
        <v>102</v>
      </c>
      <c r="F139" s="41">
        <v>205</v>
      </c>
      <c r="G139" s="41">
        <v>0.1</v>
      </c>
      <c r="H139" s="41">
        <v>0</v>
      </c>
      <c r="I139" s="41">
        <v>4.5999999999999996</v>
      </c>
      <c r="J139" s="41">
        <v>17.100000000000001</v>
      </c>
      <c r="K139" s="51" t="s">
        <v>42</v>
      </c>
      <c r="L139" s="41">
        <v>2</v>
      </c>
    </row>
    <row r="140" spans="1:12" ht="15" x14ac:dyDescent="0.25">
      <c r="A140" s="23"/>
      <c r="B140" s="15"/>
      <c r="C140" s="11"/>
      <c r="D140" s="7" t="s">
        <v>30</v>
      </c>
      <c r="E140" s="40" t="s">
        <v>43</v>
      </c>
      <c r="F140" s="41">
        <v>38</v>
      </c>
      <c r="G140" s="41">
        <v>3</v>
      </c>
      <c r="H140" s="41">
        <v>0.4</v>
      </c>
      <c r="I140" s="41">
        <v>19</v>
      </c>
      <c r="J140" s="41">
        <v>91.6</v>
      </c>
      <c r="K140" s="51" t="s">
        <v>45</v>
      </c>
      <c r="L140" s="41">
        <v>3.61</v>
      </c>
    </row>
    <row r="141" spans="1:12" ht="15" x14ac:dyDescent="0.25">
      <c r="A141" s="23"/>
      <c r="B141" s="15"/>
      <c r="C141" s="11"/>
      <c r="D141" s="7" t="s">
        <v>31</v>
      </c>
      <c r="E141" s="40" t="s">
        <v>97</v>
      </c>
      <c r="F141" s="41">
        <v>38</v>
      </c>
      <c r="G141" s="41">
        <v>3.1</v>
      </c>
      <c r="H141" s="41">
        <v>0.3</v>
      </c>
      <c r="I141" s="41">
        <v>19.5</v>
      </c>
      <c r="J141" s="41">
        <v>94.3</v>
      </c>
      <c r="K141" s="51" t="s">
        <v>98</v>
      </c>
      <c r="L141" s="41">
        <v>3.61</v>
      </c>
    </row>
    <row r="142" spans="1:12" ht="15" x14ac:dyDescent="0.25">
      <c r="A142" s="23"/>
      <c r="B142" s="15"/>
      <c r="C142" s="11"/>
      <c r="D142" s="6"/>
      <c r="E142" s="40"/>
      <c r="F142" s="41"/>
      <c r="G142" s="41"/>
      <c r="H142" s="41"/>
      <c r="I142" s="41"/>
      <c r="J142" s="41"/>
      <c r="K142" s="42"/>
      <c r="L142" s="41"/>
    </row>
    <row r="143" spans="1:12" ht="15" x14ac:dyDescent="0.25">
      <c r="A143" s="24"/>
      <c r="B143" s="17"/>
      <c r="C143" s="8"/>
      <c r="D143" s="18" t="s">
        <v>32</v>
      </c>
      <c r="E143" s="9"/>
      <c r="F143" s="19">
        <f>SUM(F135:F142)</f>
        <v>811</v>
      </c>
      <c r="G143" s="19">
        <f>SUM(G135:G142)</f>
        <v>23.000000000000004</v>
      </c>
      <c r="H143" s="19">
        <f>SUM(H135:H142)</f>
        <v>17.5</v>
      </c>
      <c r="I143" s="19">
        <f>SUM(I135:I142)</f>
        <v>100.8</v>
      </c>
      <c r="J143" s="19">
        <f>SUM(J135:J142)</f>
        <v>821.3</v>
      </c>
      <c r="K143" s="25"/>
      <c r="L143" s="19">
        <f>SUM(L135:L142)</f>
        <v>74.61</v>
      </c>
    </row>
    <row r="144" spans="1:12" ht="15" x14ac:dyDescent="0.2">
      <c r="A144" s="29">
        <f>A127</f>
        <v>2</v>
      </c>
      <c r="B144" s="30">
        <f>B127</f>
        <v>3</v>
      </c>
      <c r="C144" s="78" t="s">
        <v>4</v>
      </c>
      <c r="D144" s="79"/>
      <c r="E144" s="31"/>
      <c r="F144" s="32">
        <f>F134+F143</f>
        <v>1444</v>
      </c>
      <c r="G144" s="32">
        <f>G134+G143</f>
        <v>46.320000000000007</v>
      </c>
      <c r="H144" s="32">
        <f>H134+H143</f>
        <v>42.05</v>
      </c>
      <c r="I144" s="32">
        <f>I134+I143</f>
        <v>222.57</v>
      </c>
      <c r="J144" s="32">
        <f>J134+J143</f>
        <v>1639.12</v>
      </c>
      <c r="K144" s="32"/>
      <c r="L144" s="32">
        <f>L134+L143</f>
        <v>169.99</v>
      </c>
    </row>
    <row r="145" spans="1:12" ht="15" x14ac:dyDescent="0.25">
      <c r="A145" s="20">
        <v>2</v>
      </c>
      <c r="B145" s="21">
        <v>4</v>
      </c>
      <c r="C145" s="22" t="s">
        <v>19</v>
      </c>
      <c r="D145" s="5" t="s">
        <v>20</v>
      </c>
      <c r="E145" s="57" t="s">
        <v>147</v>
      </c>
      <c r="F145" s="39">
        <v>170</v>
      </c>
      <c r="G145" s="39">
        <v>3.1</v>
      </c>
      <c r="H145" s="39">
        <v>7.5</v>
      </c>
      <c r="I145" s="39">
        <v>15.8</v>
      </c>
      <c r="J145" s="39">
        <v>197.5</v>
      </c>
      <c r="K145" s="58" t="s">
        <v>74</v>
      </c>
      <c r="L145" s="39">
        <v>24.97</v>
      </c>
    </row>
    <row r="146" spans="1:12" ht="15" x14ac:dyDescent="0.25">
      <c r="A146" s="23"/>
      <c r="B146" s="15"/>
      <c r="C146" s="11"/>
      <c r="D146" s="7" t="s">
        <v>21</v>
      </c>
      <c r="E146" s="76" t="s">
        <v>83</v>
      </c>
      <c r="F146" s="56">
        <v>200</v>
      </c>
      <c r="G146" s="64">
        <v>0.7</v>
      </c>
      <c r="H146" s="60">
        <v>0</v>
      </c>
      <c r="I146" s="64">
        <v>8.5</v>
      </c>
      <c r="J146" s="64">
        <v>36.9</v>
      </c>
      <c r="K146" s="77" t="s">
        <v>88</v>
      </c>
      <c r="L146" s="60">
        <v>4.66</v>
      </c>
    </row>
    <row r="147" spans="1:12" ht="15" x14ac:dyDescent="0.25">
      <c r="A147" s="23"/>
      <c r="B147" s="15"/>
      <c r="C147" s="11"/>
      <c r="D147" s="7" t="s">
        <v>22</v>
      </c>
      <c r="E147" s="40" t="s">
        <v>43</v>
      </c>
      <c r="F147" s="41">
        <v>38</v>
      </c>
      <c r="G147" s="65">
        <v>3</v>
      </c>
      <c r="H147" s="41">
        <v>0.4</v>
      </c>
      <c r="I147" s="65">
        <v>19</v>
      </c>
      <c r="J147" s="41">
        <v>91.6</v>
      </c>
      <c r="K147" s="51" t="s">
        <v>45</v>
      </c>
      <c r="L147" s="41">
        <v>1.8</v>
      </c>
    </row>
    <row r="148" spans="1:12" ht="15" x14ac:dyDescent="0.25">
      <c r="A148" s="23"/>
      <c r="B148" s="15"/>
      <c r="C148" s="11"/>
      <c r="D148" s="7" t="s">
        <v>25</v>
      </c>
      <c r="E148" s="52" t="s">
        <v>89</v>
      </c>
      <c r="F148" s="41">
        <v>60</v>
      </c>
      <c r="G148" s="41">
        <v>0.7</v>
      </c>
      <c r="H148" s="41">
        <v>6</v>
      </c>
      <c r="I148" s="41">
        <v>5.0999999999999996</v>
      </c>
      <c r="J148" s="41">
        <v>151.80000000000001</v>
      </c>
      <c r="K148" s="74">
        <v>37803</v>
      </c>
      <c r="L148" s="41">
        <v>1.8</v>
      </c>
    </row>
    <row r="149" spans="1:12" ht="15" x14ac:dyDescent="0.25">
      <c r="A149" s="23"/>
      <c r="B149" s="15"/>
      <c r="C149" s="11"/>
      <c r="D149" s="75" t="s">
        <v>99</v>
      </c>
      <c r="E149" s="52" t="s">
        <v>81</v>
      </c>
      <c r="F149" s="41">
        <v>90</v>
      </c>
      <c r="G149" s="41">
        <v>12.8</v>
      </c>
      <c r="H149" s="41">
        <v>12.7</v>
      </c>
      <c r="I149" s="41">
        <v>6.2</v>
      </c>
      <c r="J149" s="41">
        <v>208.4</v>
      </c>
      <c r="K149" s="51" t="s">
        <v>82</v>
      </c>
      <c r="L149" s="41">
        <v>35.18</v>
      </c>
    </row>
    <row r="150" spans="1:12" ht="15" x14ac:dyDescent="0.25">
      <c r="A150" s="23"/>
      <c r="B150" s="15"/>
      <c r="C150" s="11"/>
      <c r="D150" s="6"/>
      <c r="E150" s="52"/>
      <c r="F150" s="41"/>
      <c r="G150" s="41"/>
      <c r="H150" s="41"/>
      <c r="I150" s="41"/>
      <c r="J150" s="41"/>
      <c r="K150" s="55"/>
      <c r="L150" s="41"/>
    </row>
    <row r="151" spans="1:12" ht="15" x14ac:dyDescent="0.25">
      <c r="A151" s="24"/>
      <c r="B151" s="17"/>
      <c r="C151" s="8"/>
      <c r="D151" s="18" t="s">
        <v>32</v>
      </c>
      <c r="E151" s="9"/>
      <c r="F151" s="19">
        <f>SUM(F145:F150)</f>
        <v>558</v>
      </c>
      <c r="G151" s="19">
        <f>SUM(G145:G150)</f>
        <v>20.3</v>
      </c>
      <c r="H151" s="19">
        <f>SUM(H145:H150)</f>
        <v>26.6</v>
      </c>
      <c r="I151" s="19">
        <f>SUM(I145:I150)</f>
        <v>54.6</v>
      </c>
      <c r="J151" s="19">
        <f>SUM(J145:J150)</f>
        <v>686.2</v>
      </c>
      <c r="K151" s="25"/>
      <c r="L151" s="19">
        <f>SUM(L145:L150)</f>
        <v>68.41</v>
      </c>
    </row>
    <row r="152" spans="1:12" ht="15" x14ac:dyDescent="0.25">
      <c r="A152" s="26">
        <f>A145</f>
        <v>2</v>
      </c>
      <c r="B152" s="13">
        <f>B145</f>
        <v>4</v>
      </c>
      <c r="C152" s="10" t="s">
        <v>24</v>
      </c>
      <c r="D152" s="7"/>
      <c r="E152" s="40"/>
      <c r="F152" s="41"/>
      <c r="G152" s="41"/>
      <c r="H152" s="41"/>
      <c r="I152" s="41"/>
      <c r="J152" s="41"/>
      <c r="K152" s="42"/>
      <c r="L152" s="41"/>
    </row>
    <row r="153" spans="1:12" ht="15" x14ac:dyDescent="0.25">
      <c r="A153" s="23"/>
      <c r="B153" s="15"/>
      <c r="C153" s="11"/>
      <c r="D153" s="7" t="s">
        <v>26</v>
      </c>
      <c r="E153" s="52" t="s">
        <v>148</v>
      </c>
      <c r="F153" s="41">
        <v>255</v>
      </c>
      <c r="G153" s="41">
        <v>2.2000000000000002</v>
      </c>
      <c r="H153" s="41">
        <v>6.3</v>
      </c>
      <c r="I153" s="41">
        <v>13.2</v>
      </c>
      <c r="J153" s="41">
        <v>180.8</v>
      </c>
      <c r="K153" s="51" t="s">
        <v>137</v>
      </c>
      <c r="L153" s="41">
        <v>6.19</v>
      </c>
    </row>
    <row r="154" spans="1:12" ht="15" x14ac:dyDescent="0.25">
      <c r="A154" s="23"/>
      <c r="B154" s="15"/>
      <c r="C154" s="11"/>
      <c r="D154" s="7" t="s">
        <v>27</v>
      </c>
      <c r="E154" s="52" t="s">
        <v>149</v>
      </c>
      <c r="F154" s="41">
        <v>90</v>
      </c>
      <c r="G154" s="41">
        <v>13.6</v>
      </c>
      <c r="H154" s="41">
        <v>15.7</v>
      </c>
      <c r="I154" s="41">
        <v>6.1</v>
      </c>
      <c r="J154" s="41">
        <v>212</v>
      </c>
      <c r="K154" s="51" t="s">
        <v>72</v>
      </c>
      <c r="L154" s="41">
        <v>45.08</v>
      </c>
    </row>
    <row r="155" spans="1:12" ht="15" x14ac:dyDescent="0.25">
      <c r="A155" s="23"/>
      <c r="B155" s="15"/>
      <c r="C155" s="11"/>
      <c r="D155" s="7" t="s">
        <v>28</v>
      </c>
      <c r="E155" s="52" t="s">
        <v>150</v>
      </c>
      <c r="F155" s="41">
        <v>150</v>
      </c>
      <c r="G155" s="41">
        <v>3.7</v>
      </c>
      <c r="H155" s="41">
        <v>5.0999999999999996</v>
      </c>
      <c r="I155" s="41">
        <v>35.200000000000003</v>
      </c>
      <c r="J155" s="41">
        <v>209.2</v>
      </c>
      <c r="K155" s="51" t="s">
        <v>151</v>
      </c>
      <c r="L155" s="41">
        <v>11.56</v>
      </c>
    </row>
    <row r="156" spans="1:12" ht="15" x14ac:dyDescent="0.25">
      <c r="A156" s="23"/>
      <c r="B156" s="15"/>
      <c r="C156" s="11"/>
      <c r="D156" s="7" t="s">
        <v>29</v>
      </c>
      <c r="E156" s="52" t="s">
        <v>102</v>
      </c>
      <c r="F156" s="41">
        <v>205</v>
      </c>
      <c r="G156" s="41">
        <v>0.1</v>
      </c>
      <c r="H156" s="41">
        <v>0</v>
      </c>
      <c r="I156" s="41">
        <v>4.5999999999999996</v>
      </c>
      <c r="J156" s="41">
        <v>17.100000000000001</v>
      </c>
      <c r="K156" s="51" t="s">
        <v>68</v>
      </c>
      <c r="L156" s="41">
        <v>4.5599999999999996</v>
      </c>
    </row>
    <row r="157" spans="1:12" ht="15" x14ac:dyDescent="0.25">
      <c r="A157" s="23"/>
      <c r="B157" s="15"/>
      <c r="C157" s="11"/>
      <c r="D157" s="7" t="s">
        <v>30</v>
      </c>
      <c r="E157" s="40" t="s">
        <v>43</v>
      </c>
      <c r="F157" s="41">
        <v>38</v>
      </c>
      <c r="G157" s="41">
        <v>3</v>
      </c>
      <c r="H157" s="41">
        <v>0.4</v>
      </c>
      <c r="I157" s="41">
        <v>19</v>
      </c>
      <c r="J157" s="41">
        <v>91.6</v>
      </c>
      <c r="K157" s="51" t="s">
        <v>45</v>
      </c>
      <c r="L157" s="41">
        <v>3.61</v>
      </c>
    </row>
    <row r="158" spans="1:12" ht="15" x14ac:dyDescent="0.25">
      <c r="A158" s="23"/>
      <c r="B158" s="15"/>
      <c r="C158" s="11"/>
      <c r="D158" s="7" t="s">
        <v>31</v>
      </c>
      <c r="E158" s="40" t="s">
        <v>97</v>
      </c>
      <c r="F158" s="41">
        <v>38</v>
      </c>
      <c r="G158" s="41">
        <v>3.1</v>
      </c>
      <c r="H158" s="41">
        <v>0.3</v>
      </c>
      <c r="I158" s="41">
        <v>19.5</v>
      </c>
      <c r="J158" s="41">
        <v>94.3</v>
      </c>
      <c r="K158" s="51" t="s">
        <v>98</v>
      </c>
      <c r="L158" s="41">
        <v>3.61</v>
      </c>
    </row>
    <row r="159" spans="1:12" ht="15" x14ac:dyDescent="0.25">
      <c r="A159" s="23"/>
      <c r="B159" s="15"/>
      <c r="C159" s="11"/>
      <c r="D159" s="75" t="s">
        <v>101</v>
      </c>
      <c r="E159" s="52" t="s">
        <v>56</v>
      </c>
      <c r="F159" s="41">
        <v>30</v>
      </c>
      <c r="G159" s="41">
        <v>0.3</v>
      </c>
      <c r="H159" s="41">
        <v>0.6</v>
      </c>
      <c r="I159" s="41">
        <v>2.1</v>
      </c>
      <c r="J159" s="41">
        <v>13.8</v>
      </c>
      <c r="K159" s="51" t="s">
        <v>57</v>
      </c>
      <c r="L159" s="41">
        <v>3.61</v>
      </c>
    </row>
    <row r="160" spans="1:12" ht="15" x14ac:dyDescent="0.25">
      <c r="A160" s="23"/>
      <c r="B160" s="15"/>
      <c r="C160" s="11"/>
      <c r="D160" s="6"/>
      <c r="E160" s="40"/>
      <c r="F160" s="41"/>
      <c r="G160" s="41"/>
      <c r="H160" s="41"/>
      <c r="I160" s="41"/>
      <c r="J160" s="41"/>
      <c r="K160" s="42"/>
      <c r="L160" s="41"/>
    </row>
    <row r="161" spans="1:12" ht="15" x14ac:dyDescent="0.25">
      <c r="A161" s="24"/>
      <c r="B161" s="17"/>
      <c r="C161" s="8"/>
      <c r="D161" s="18" t="s">
        <v>32</v>
      </c>
      <c r="E161" s="9"/>
      <c r="F161" s="19">
        <f>SUM(F152:F160)</f>
        <v>806</v>
      </c>
      <c r="G161" s="19">
        <f t="shared" ref="G161:J161" si="6">SUM(G152:G160)</f>
        <v>26.000000000000004</v>
      </c>
      <c r="H161" s="19">
        <f t="shared" si="6"/>
        <v>28.400000000000002</v>
      </c>
      <c r="I161" s="19">
        <f t="shared" si="6"/>
        <v>99.699999999999989</v>
      </c>
      <c r="J161" s="19">
        <f t="shared" si="6"/>
        <v>818.8</v>
      </c>
      <c r="K161" s="25"/>
      <c r="L161" s="19">
        <f t="shared" ref="L161" si="7">SUM(L152:L160)</f>
        <v>78.22</v>
      </c>
    </row>
    <row r="162" spans="1:12" ht="15.75" thickBot="1" x14ac:dyDescent="0.25">
      <c r="A162" s="29">
        <f>A145</f>
        <v>2</v>
      </c>
      <c r="B162" s="30">
        <f>B145</f>
        <v>4</v>
      </c>
      <c r="C162" s="78" t="s">
        <v>4</v>
      </c>
      <c r="D162" s="79"/>
      <c r="E162" s="31"/>
      <c r="F162" s="32">
        <f>F151+F161</f>
        <v>1364</v>
      </c>
      <c r="G162" s="32">
        <f t="shared" ref="G162" si="8">G151+G161</f>
        <v>46.300000000000004</v>
      </c>
      <c r="H162" s="32">
        <f t="shared" ref="H162" si="9">H151+H161</f>
        <v>55</v>
      </c>
      <c r="I162" s="32">
        <f t="shared" ref="I162" si="10">I151+I161</f>
        <v>154.29999999999998</v>
      </c>
      <c r="J162" s="32">
        <f t="shared" ref="J162:L162" si="11">J151+J161</f>
        <v>1505</v>
      </c>
      <c r="K162" s="32"/>
      <c r="L162" s="32">
        <f t="shared" si="11"/>
        <v>146.63</v>
      </c>
    </row>
    <row r="163" spans="1:12" ht="15.75" thickBot="1" x14ac:dyDescent="0.3">
      <c r="A163" s="20">
        <v>2</v>
      </c>
      <c r="B163" s="21">
        <v>5</v>
      </c>
      <c r="C163" s="22" t="s">
        <v>19</v>
      </c>
      <c r="D163" s="5" t="s">
        <v>20</v>
      </c>
      <c r="E163" s="52" t="s">
        <v>152</v>
      </c>
      <c r="F163" s="41">
        <v>205</v>
      </c>
      <c r="G163" s="41">
        <v>8.1</v>
      </c>
      <c r="H163" s="41">
        <v>9.4</v>
      </c>
      <c r="I163" s="41">
        <v>39.5</v>
      </c>
      <c r="J163" s="41">
        <v>291.3</v>
      </c>
      <c r="K163" s="51" t="s">
        <v>41</v>
      </c>
      <c r="L163" s="41">
        <v>11.8</v>
      </c>
    </row>
    <row r="164" spans="1:12" ht="15" x14ac:dyDescent="0.25">
      <c r="A164" s="23"/>
      <c r="B164" s="15"/>
      <c r="C164" s="11"/>
      <c r="D164" s="75" t="s">
        <v>29</v>
      </c>
      <c r="E164" s="57" t="s">
        <v>154</v>
      </c>
      <c r="F164" s="39">
        <v>200</v>
      </c>
      <c r="G164" s="39">
        <v>2.6</v>
      </c>
      <c r="H164" s="39">
        <v>2.5</v>
      </c>
      <c r="I164" s="39">
        <v>9.5</v>
      </c>
      <c r="J164" s="39">
        <v>130</v>
      </c>
      <c r="K164" s="58" t="s">
        <v>94</v>
      </c>
      <c r="L164" s="39">
        <v>50.62</v>
      </c>
    </row>
    <row r="165" spans="1:12" ht="15" x14ac:dyDescent="0.25">
      <c r="A165" s="23"/>
      <c r="B165" s="15"/>
      <c r="C165" s="11"/>
      <c r="D165" s="7" t="s">
        <v>21</v>
      </c>
      <c r="E165" s="52" t="s">
        <v>100</v>
      </c>
      <c r="F165" s="41">
        <v>200</v>
      </c>
      <c r="G165" s="41">
        <v>0</v>
      </c>
      <c r="H165" s="41">
        <v>0</v>
      </c>
      <c r="I165" s="65">
        <v>17</v>
      </c>
      <c r="J165" s="41">
        <v>80</v>
      </c>
      <c r="K165" s="51" t="s">
        <v>44</v>
      </c>
      <c r="L165" s="41">
        <v>10.56</v>
      </c>
    </row>
    <row r="166" spans="1:12" ht="15" x14ac:dyDescent="0.25">
      <c r="A166" s="23"/>
      <c r="B166" s="15"/>
      <c r="C166" s="11"/>
      <c r="D166" s="7" t="s">
        <v>22</v>
      </c>
      <c r="E166" s="40" t="s">
        <v>43</v>
      </c>
      <c r="F166" s="41">
        <v>38</v>
      </c>
      <c r="G166" s="66">
        <v>3</v>
      </c>
      <c r="H166" s="41">
        <v>0.4</v>
      </c>
      <c r="I166" s="65">
        <v>19</v>
      </c>
      <c r="J166" s="41">
        <v>91.6</v>
      </c>
      <c r="K166" s="51" t="s">
        <v>45</v>
      </c>
      <c r="L166" s="41">
        <v>1.8</v>
      </c>
    </row>
    <row r="167" spans="1:12" ht="15" x14ac:dyDescent="0.25">
      <c r="A167" s="23"/>
      <c r="B167" s="15"/>
      <c r="C167" s="11"/>
      <c r="D167" s="6" t="s">
        <v>25</v>
      </c>
      <c r="E167" s="52" t="s">
        <v>153</v>
      </c>
      <c r="F167" s="41">
        <v>60</v>
      </c>
      <c r="G167" s="41">
        <v>2.2000000000000002</v>
      </c>
      <c r="H167" s="66">
        <v>6.8</v>
      </c>
      <c r="I167" s="65">
        <v>25.1</v>
      </c>
      <c r="J167" s="41">
        <v>183.6</v>
      </c>
      <c r="K167" s="63" t="s">
        <v>79</v>
      </c>
      <c r="L167" s="41">
        <v>9.4</v>
      </c>
    </row>
    <row r="168" spans="1:12" ht="15" x14ac:dyDescent="0.25">
      <c r="A168" s="23"/>
      <c r="B168" s="15"/>
      <c r="C168" s="11"/>
      <c r="D168" s="6"/>
      <c r="E168" s="52"/>
      <c r="F168" s="41"/>
      <c r="G168" s="41"/>
      <c r="H168" s="41"/>
      <c r="I168" s="41"/>
      <c r="J168" s="41"/>
      <c r="K168" s="51"/>
      <c r="L168" s="41"/>
    </row>
    <row r="169" spans="1:12" ht="15" x14ac:dyDescent="0.25">
      <c r="A169" s="23"/>
      <c r="B169" s="15"/>
      <c r="C169" s="11"/>
      <c r="D169" s="6"/>
      <c r="E169" s="52"/>
      <c r="F169" s="41"/>
      <c r="G169" s="41"/>
      <c r="H169" s="41"/>
      <c r="I169" s="41"/>
      <c r="J169" s="41"/>
      <c r="K169" s="51"/>
      <c r="L169" s="41"/>
    </row>
    <row r="170" spans="1:12" ht="15.75" customHeight="1" x14ac:dyDescent="0.25">
      <c r="A170" s="24"/>
      <c r="B170" s="17"/>
      <c r="C170" s="8"/>
      <c r="D170" s="18" t="s">
        <v>32</v>
      </c>
      <c r="E170" s="9"/>
      <c r="F170" s="19">
        <f>SUM(F163:F168)</f>
        <v>703</v>
      </c>
      <c r="G170" s="19">
        <f>SUM(G163:G168)</f>
        <v>15.899999999999999</v>
      </c>
      <c r="H170" s="19">
        <f>SUM(H163:H168)</f>
        <v>19.100000000000001</v>
      </c>
      <c r="I170" s="19">
        <f>SUM(I163:I168)</f>
        <v>110.1</v>
      </c>
      <c r="J170" s="19">
        <f>SUM(J163:J168)</f>
        <v>776.5</v>
      </c>
      <c r="K170" s="25"/>
      <c r="L170" s="19">
        <f>SUM(L163:L168)</f>
        <v>84.18</v>
      </c>
    </row>
    <row r="171" spans="1:12" ht="15" x14ac:dyDescent="0.25">
      <c r="A171" s="26">
        <f>A163</f>
        <v>2</v>
      </c>
      <c r="B171" s="13">
        <f>B163</f>
        <v>5</v>
      </c>
      <c r="C171" s="10" t="s">
        <v>24</v>
      </c>
      <c r="D171" s="7"/>
      <c r="E171" s="40"/>
      <c r="F171" s="41"/>
      <c r="G171" s="41"/>
      <c r="H171" s="41"/>
      <c r="I171" s="41"/>
      <c r="J171" s="41"/>
      <c r="K171" s="42"/>
      <c r="L171" s="41"/>
    </row>
    <row r="172" spans="1:12" ht="15" x14ac:dyDescent="0.25">
      <c r="A172" s="23"/>
      <c r="B172" s="15"/>
      <c r="C172" s="11"/>
      <c r="D172" s="59" t="s">
        <v>26</v>
      </c>
      <c r="E172" s="52" t="s">
        <v>116</v>
      </c>
      <c r="F172" s="41">
        <v>250</v>
      </c>
      <c r="G172" s="41">
        <v>2.6</v>
      </c>
      <c r="H172" s="41">
        <v>2.4</v>
      </c>
      <c r="I172" s="41">
        <v>18.899999999999999</v>
      </c>
      <c r="J172" s="41">
        <v>107.9</v>
      </c>
      <c r="K172" s="51" t="s">
        <v>71</v>
      </c>
      <c r="L172" s="41">
        <v>7.07</v>
      </c>
    </row>
    <row r="173" spans="1:12" ht="15" x14ac:dyDescent="0.25">
      <c r="A173" s="23"/>
      <c r="B173" s="15"/>
      <c r="C173" s="11"/>
      <c r="D173" s="7" t="s">
        <v>27</v>
      </c>
      <c r="E173" s="52" t="s">
        <v>124</v>
      </c>
      <c r="F173" s="41">
        <v>120</v>
      </c>
      <c r="G173" s="41">
        <v>12</v>
      </c>
      <c r="H173" s="41">
        <v>19.2</v>
      </c>
      <c r="I173" s="41">
        <v>15.6</v>
      </c>
      <c r="J173" s="41">
        <v>293.7</v>
      </c>
      <c r="K173" s="51" t="s">
        <v>76</v>
      </c>
      <c r="L173" s="41">
        <v>41.16</v>
      </c>
    </row>
    <row r="174" spans="1:12" ht="15" x14ac:dyDescent="0.25">
      <c r="A174" s="23"/>
      <c r="B174" s="15"/>
      <c r="C174" s="11"/>
      <c r="D174" s="7" t="s">
        <v>28</v>
      </c>
      <c r="E174" s="52" t="s">
        <v>60</v>
      </c>
      <c r="F174" s="41">
        <v>150</v>
      </c>
      <c r="G174" s="41">
        <v>8.5</v>
      </c>
      <c r="H174" s="41">
        <v>5.0999999999999996</v>
      </c>
      <c r="I174" s="41">
        <v>40.200000000000003</v>
      </c>
      <c r="J174" s="41">
        <v>249.6</v>
      </c>
      <c r="K174" s="51" t="s">
        <v>61</v>
      </c>
      <c r="L174" s="41">
        <v>14.5</v>
      </c>
    </row>
    <row r="175" spans="1:12" ht="15" x14ac:dyDescent="0.25">
      <c r="A175" s="23"/>
      <c r="B175" s="15"/>
      <c r="C175" s="11"/>
      <c r="D175" s="7" t="s">
        <v>29</v>
      </c>
      <c r="E175" s="76" t="s">
        <v>102</v>
      </c>
      <c r="F175" s="56">
        <v>205</v>
      </c>
      <c r="G175" s="64">
        <v>0.1</v>
      </c>
      <c r="H175" s="56">
        <v>0</v>
      </c>
      <c r="I175" s="64">
        <v>4.5999999999999996</v>
      </c>
      <c r="J175" s="64">
        <v>17.100000000000001</v>
      </c>
      <c r="K175" s="77" t="s">
        <v>42</v>
      </c>
      <c r="L175" s="60">
        <v>4.66</v>
      </c>
    </row>
    <row r="176" spans="1:12" ht="15" x14ac:dyDescent="0.25">
      <c r="A176" s="23"/>
      <c r="B176" s="15"/>
      <c r="C176" s="11"/>
      <c r="D176" s="7" t="s">
        <v>30</v>
      </c>
      <c r="E176" s="40" t="s">
        <v>43</v>
      </c>
      <c r="F176" s="41">
        <v>38</v>
      </c>
      <c r="G176" s="41">
        <v>3</v>
      </c>
      <c r="H176" s="41">
        <v>0.4</v>
      </c>
      <c r="I176" s="41">
        <v>19</v>
      </c>
      <c r="J176" s="41">
        <v>91.6</v>
      </c>
      <c r="K176" s="51" t="s">
        <v>45</v>
      </c>
      <c r="L176" s="41">
        <v>3.61</v>
      </c>
    </row>
    <row r="177" spans="1:12" ht="15" x14ac:dyDescent="0.25">
      <c r="A177" s="23"/>
      <c r="B177" s="15"/>
      <c r="C177" s="11"/>
      <c r="D177" s="7" t="s">
        <v>31</v>
      </c>
      <c r="E177" s="40" t="s">
        <v>97</v>
      </c>
      <c r="F177" s="41">
        <v>38</v>
      </c>
      <c r="G177" s="41">
        <v>3.1</v>
      </c>
      <c r="H177" s="41">
        <v>0.3</v>
      </c>
      <c r="I177" s="41">
        <v>19.5</v>
      </c>
      <c r="J177" s="41">
        <v>94.3</v>
      </c>
      <c r="K177" s="51" t="s">
        <v>98</v>
      </c>
      <c r="L177" s="41">
        <v>3.61</v>
      </c>
    </row>
    <row r="178" spans="1:12" ht="15" x14ac:dyDescent="0.25">
      <c r="A178" s="23"/>
      <c r="B178" s="15"/>
      <c r="C178" s="11"/>
      <c r="D178" s="6"/>
      <c r="E178" s="40"/>
      <c r="F178" s="41"/>
      <c r="G178" s="41"/>
      <c r="H178" s="41"/>
      <c r="I178" s="41"/>
      <c r="J178" s="41"/>
      <c r="K178" s="42"/>
      <c r="L178" s="41"/>
    </row>
    <row r="179" spans="1:12" ht="15" x14ac:dyDescent="0.25">
      <c r="A179" s="24"/>
      <c r="B179" s="17"/>
      <c r="C179" s="8"/>
      <c r="D179" s="18" t="s">
        <v>32</v>
      </c>
      <c r="E179" s="9"/>
      <c r="F179" s="19">
        <f>SUM(F171:F178)</f>
        <v>801</v>
      </c>
      <c r="G179" s="19">
        <f>SUM(G171:G178)</f>
        <v>29.300000000000004</v>
      </c>
      <c r="H179" s="19">
        <f>SUM(H171:H178)</f>
        <v>27.399999999999995</v>
      </c>
      <c r="I179" s="19">
        <f>SUM(I171:I178)</f>
        <v>117.8</v>
      </c>
      <c r="J179" s="19">
        <f>SUM(J171:J178)</f>
        <v>854.2</v>
      </c>
      <c r="K179" s="25"/>
      <c r="L179" s="19">
        <f>SUM(L171:L178)</f>
        <v>74.61</v>
      </c>
    </row>
    <row r="180" spans="1:12" ht="15" x14ac:dyDescent="0.2">
      <c r="A180" s="29">
        <f>A163</f>
        <v>2</v>
      </c>
      <c r="B180" s="30">
        <f>B163</f>
        <v>5</v>
      </c>
      <c r="C180" s="78" t="s">
        <v>4</v>
      </c>
      <c r="D180" s="79"/>
      <c r="E180" s="31"/>
      <c r="F180" s="32">
        <f>F170+F179</f>
        <v>1504</v>
      </c>
      <c r="G180" s="32">
        <f>G170+G179</f>
        <v>45.2</v>
      </c>
      <c r="H180" s="32">
        <f>H170+H179</f>
        <v>46.5</v>
      </c>
      <c r="I180" s="32">
        <f>I170+I179</f>
        <v>227.89999999999998</v>
      </c>
      <c r="J180" s="32">
        <f>J170+J179</f>
        <v>1630.7</v>
      </c>
      <c r="K180" s="32"/>
      <c r="L180" s="32">
        <f>L170+L179</f>
        <v>158.79000000000002</v>
      </c>
    </row>
    <row r="181" spans="1:12" x14ac:dyDescent="0.2">
      <c r="A181" s="27"/>
      <c r="B181" s="28"/>
      <c r="C181" s="80" t="s">
        <v>5</v>
      </c>
      <c r="D181" s="80"/>
      <c r="E181" s="80"/>
      <c r="F181" s="34">
        <f>(F22+F40+F58+F76+F93+F109+F126+F144+F162+F180)/(IF(F22=0,0,1)+IF(F40=0,0,1)+IF(F58=0,0,1)+IF(F76=0,0,1)+IF(F93=0,0,1)+IF(F109=0,0,1)+IF(F126=0,0,1)+IF(F144=0,0,1)+IF(F162=0,0,1)+IF(F180=0,0,1))</f>
        <v>1408.5</v>
      </c>
      <c r="G181" s="34">
        <f>(G22+G40+G58+G76+G93+G109+G126+G144+G162+G180)/(IF(G22=0,0,1)+IF(G40=0,0,1)+IF(G58=0,0,1)+IF(G76=0,0,1)+IF(G93=0,0,1)+IF(G109=0,0,1)+IF(G126=0,0,1)+IF(G144=0,0,1)+IF(G162=0,0,1)+IF(G180=0,0,1))</f>
        <v>47.762</v>
      </c>
      <c r="H181" s="34">
        <f>(H22+H40+H58+H76+H93+H109+H126+H144+H162+H180)/(IF(H22=0,0,1)+IF(H40=0,0,1)+IF(H58=0,0,1)+IF(H76=0,0,1)+IF(H93=0,0,1)+IF(H109=0,0,1)+IF(H126=0,0,1)+IF(H144=0,0,1)+IF(H162=0,0,1)+IF(H180=0,0,1))</f>
        <v>48.145000000000003</v>
      </c>
      <c r="I181" s="34">
        <f>(I22+I40+I58+I76+I93+I109+I126+I144+I162+I180)/(IF(I22=0,0,1)+IF(I40=0,0,1)+IF(I58=0,0,1)+IF(I76=0,0,1)+IF(I93=0,0,1)+IF(I109=0,0,1)+IF(I126=0,0,1)+IF(I144=0,0,1)+IF(I162=0,0,1)+IF(I180=0,0,1))</f>
        <v>189.85700000000003</v>
      </c>
      <c r="J181" s="34">
        <f>(J22+J40+J58+J76+J93+J109+J126+J144+J162+J180)/(IF(J22=0,0,1)+IF(J40=0,0,1)+IF(J58=0,0,1)+IF(J76=0,0,1)+IF(J93=0,0,1)+IF(J109=0,0,1)+IF(J126=0,0,1)+IF(J144=0,0,1)+IF(J162=0,0,1)+IF(J180=0,0,1))</f>
        <v>1577.1020000000001</v>
      </c>
      <c r="K181" s="34"/>
      <c r="L181" s="34">
        <f>(L22+L40+L58+L76+L93+L109+L126+L144+L162+L180)/(IF(L22=0,0,1)+IF(L40=0,0,1)+IF(L58=0,0,1)+IF(L76=0,0,1)+IF(L93=0,0,1)+IF(L109=0,0,1)+IF(L126=0,0,1)+IF(L144=0,0,1)+IF(L162=0,0,1)+IF(L180=0,0,1))</f>
        <v>156.38899999999998</v>
      </c>
    </row>
  </sheetData>
  <mergeCells count="14">
    <mergeCell ref="C1:E1"/>
    <mergeCell ref="H1:K1"/>
    <mergeCell ref="H2:K2"/>
    <mergeCell ref="C40:D40"/>
    <mergeCell ref="C58:D58"/>
    <mergeCell ref="C76:D76"/>
    <mergeCell ref="C93:D93"/>
    <mergeCell ref="C22:D22"/>
    <mergeCell ref="C181:E181"/>
    <mergeCell ref="C180:D180"/>
    <mergeCell ref="C109:D109"/>
    <mergeCell ref="C126:D126"/>
    <mergeCell ref="C144:D144"/>
    <mergeCell ref="C162:D162"/>
  </mergeCells>
  <pageMargins left="0.7" right="0.7" top="0.75" bottom="0.75" header="0.3" footer="0.3"/>
  <pageSetup paperSize="9"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Пользователь</cp:lastModifiedBy>
  <cp:lastPrinted>2023-11-20T10:21:27Z</cp:lastPrinted>
  <dcterms:created xsi:type="dcterms:W3CDTF">2022-05-16T14:23:56Z</dcterms:created>
  <dcterms:modified xsi:type="dcterms:W3CDTF">2025-03-31T06:47:18Z</dcterms:modified>
</cp:coreProperties>
</file>